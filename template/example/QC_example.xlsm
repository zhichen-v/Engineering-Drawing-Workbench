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filterPrivacy="1" codeName="ThisWorkbook"/>
  <xr:revisionPtr revIDLastSave="0" documentId="11_2EDF4A35A390E5D3DB7175E1C874A646C966399B" xr6:coauthVersionLast="47" xr6:coauthVersionMax="47" xr10:uidLastSave="{00000000-0000-0000-0000-000000000000}"/>
  <bookViews>
    <workbookView xWindow="-120" yWindow="-120" windowWidth="38640" windowHeight="21840" xr2:uid="{00000000-000D-0000-FFFF-FFFF00000000}"/>
  </bookViews>
  <sheets>
    <sheet name="OGQC" sheetId="7" r:id="rId1"/>
    <sheet name="選項" sheetId="8" r:id="rId2"/>
  </sheets>
  <externalReferences>
    <externalReference r:id="rId3"/>
    <externalReference r:id="rId4"/>
  </externalReferences>
  <definedNames>
    <definedName name="_xlnm._FilterDatabase" localSheetId="0" hidden="1">OGQC!$A$1:$Q$68</definedName>
    <definedName name="MEAuth">#REF!</definedName>
    <definedName name="OK">#REF!</definedName>
    <definedName name="Part_No">[1]ISRDATA!$C$4</definedName>
    <definedName name="Print_Date">[1]ISRDATA!$H$5</definedName>
    <definedName name="_xlnm.Print_Titles" localSheetId="0">OGQC!$1:$5</definedName>
    <definedName name="QEAuth">#REF!</definedName>
    <definedName name="Revision_Level">[1]ISRDATA!$K$5</definedName>
    <definedName name="S">'[2]IP-1 INSP-CAV #2'!#REF!</definedName>
    <definedName name="SuperAuth">#REF!</definedName>
    <definedName name="Supplier_Code">#REF!</definedName>
    <definedName name="Tri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5" i="8" l="1"/>
  <c r="C65" i="8" s="1"/>
  <c r="D65" i="8" s="1"/>
  <c r="E65" i="8" s="1"/>
  <c r="F65" i="8" s="1"/>
  <c r="G65" i="8" s="1"/>
  <c r="H65" i="8" s="1"/>
  <c r="I65" i="8" s="1"/>
  <c r="J65" i="8" s="1"/>
  <c r="K65" i="8" s="1"/>
  <c r="L65" i="8" s="1"/>
  <c r="M65" i="8" s="1"/>
  <c r="N65" i="8" s="1"/>
  <c r="B68" i="8" l="1"/>
  <c r="C68" i="8" s="1"/>
  <c r="D68" i="8" s="1"/>
  <c r="E68" i="8" s="1"/>
  <c r="F68" i="8" s="1"/>
  <c r="G68" i="8" s="1"/>
  <c r="H68" i="8" s="1"/>
  <c r="I68" i="8" s="1"/>
  <c r="J68" i="8" s="1"/>
  <c r="K68" i="8" s="1"/>
  <c r="L68" i="8" s="1"/>
  <c r="M68" i="8" s="1"/>
  <c r="N68" i="8" s="1"/>
  <c r="N67" i="8"/>
  <c r="M67" i="8"/>
  <c r="L67" i="8"/>
  <c r="K67" i="8"/>
  <c r="J67" i="8"/>
  <c r="I67" i="8"/>
  <c r="H67" i="8"/>
  <c r="G67" i="8"/>
  <c r="F67" i="8"/>
  <c r="E67" i="8"/>
  <c r="D67" i="8"/>
  <c r="C67" i="8"/>
  <c r="B67" i="8"/>
  <c r="A67" i="8"/>
  <c r="B66" i="8"/>
  <c r="C66" i="8" s="1"/>
  <c r="D66" i="8" s="1"/>
  <c r="E66" i="8" s="1"/>
  <c r="F66" i="8" s="1"/>
  <c r="G66" i="8" s="1"/>
  <c r="H66" i="8" s="1"/>
  <c r="I66" i="8" s="1"/>
  <c r="J66" i="8" s="1"/>
  <c r="K66" i="8" s="1"/>
  <c r="L66" i="8" s="1"/>
  <c r="M66" i="8" s="1"/>
  <c r="N66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3" authorId="0" shapeId="0" xr:uid="{00000000-0006-0000-0000-000001000000}">
      <text>
        <r>
          <rPr>
            <b/>
            <sz val="11"/>
            <color indexed="81"/>
            <rFont val="Tahoma"/>
            <family val="2"/>
          </rPr>
          <t>FV810-0256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I3" authorId="0" shapeId="0" xr:uid="{00000000-0006-0000-0100-000001000000}">
      <text>
        <r>
          <rPr>
            <b/>
            <sz val="9"/>
            <color indexed="81"/>
            <rFont val="Times New Roman"/>
            <family val="1"/>
          </rPr>
          <t>3D</t>
        </r>
        <r>
          <rPr>
            <sz val="9"/>
            <color indexed="81"/>
            <rFont val="新細明體"/>
            <family val="1"/>
            <charset val="136"/>
          </rPr>
          <t>三次元</t>
        </r>
      </text>
    </comment>
    <comment ref="I4" authorId="0" shapeId="0" xr:uid="{00000000-0006-0000-0100-000002000000}">
      <text>
        <r>
          <rPr>
            <b/>
            <sz val="9"/>
            <color indexed="81"/>
            <rFont val="新細明體"/>
            <family val="1"/>
            <charset val="136"/>
          </rPr>
          <t>投影機</t>
        </r>
        <r>
          <rPr>
            <b/>
            <sz val="9"/>
            <color indexed="81"/>
            <rFont val="Times New Roman"/>
            <family val="1"/>
          </rPr>
          <t>(2.5D)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5" authorId="0" shapeId="0" xr:uid="{00000000-0006-0000-0100-000003000000}">
      <text>
        <r>
          <rPr>
            <b/>
            <sz val="9"/>
            <color indexed="81"/>
            <rFont val="新細明體"/>
            <family val="1"/>
            <charset val="136"/>
          </rPr>
          <t>分厘卡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6" authorId="0" shapeId="0" xr:uid="{00000000-0006-0000-0100-000004000000}">
      <text>
        <r>
          <rPr>
            <b/>
            <sz val="9"/>
            <color indexed="81"/>
            <rFont val="新細明體"/>
            <family val="1"/>
            <charset val="136"/>
          </rPr>
          <t>卡尺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8" authorId="0" shapeId="0" xr:uid="{00000000-0006-0000-0100-000005000000}">
      <text>
        <r>
          <rPr>
            <b/>
            <sz val="9"/>
            <color indexed="81"/>
            <rFont val="新細明體"/>
            <family val="1"/>
            <charset val="136"/>
          </rPr>
          <t>塞規</t>
        </r>
        <r>
          <rPr>
            <b/>
            <sz val="9"/>
            <color indexed="81"/>
            <rFont val="Times New Roman"/>
            <family val="1"/>
          </rPr>
          <t>(PIN GAUGE)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9" authorId="0" shapeId="0" xr:uid="{00000000-0006-0000-0100-000006000000}">
      <text>
        <r>
          <rPr>
            <b/>
            <sz val="9"/>
            <color indexed="81"/>
            <rFont val="新細明體"/>
            <family val="1"/>
            <charset val="136"/>
          </rPr>
          <t>齒輪檢測儀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1" authorId="0" shapeId="0" xr:uid="{00000000-0006-0000-0100-000007000000}">
      <text>
        <r>
          <rPr>
            <b/>
            <sz val="9"/>
            <color indexed="81"/>
            <rFont val="新細明體"/>
            <family val="1"/>
            <charset val="136"/>
          </rPr>
          <t>表面分析儀</t>
        </r>
        <r>
          <rPr>
            <b/>
            <sz val="9"/>
            <color indexed="81"/>
            <rFont val="Times New Roman"/>
            <family val="1"/>
          </rPr>
          <t>(</t>
        </r>
        <r>
          <rPr>
            <b/>
            <sz val="9"/>
            <color indexed="81"/>
            <rFont val="新細明體"/>
            <family val="1"/>
            <charset val="136"/>
          </rPr>
          <t>輪廓粗糙度儀</t>
        </r>
        <r>
          <rPr>
            <b/>
            <sz val="9"/>
            <color indexed="81"/>
            <rFont val="Times New Roman"/>
            <family val="1"/>
          </rPr>
          <t>)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2" authorId="0" shapeId="0" xr:uid="{00000000-0006-0000-0100-000008000000}">
      <text>
        <r>
          <rPr>
            <b/>
            <sz val="9"/>
            <color indexed="81"/>
            <rFont val="新細明體"/>
            <family val="1"/>
            <charset val="136"/>
          </rPr>
          <t>非接觸檢測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3" authorId="0" shapeId="0" xr:uid="{00000000-0006-0000-0100-000009000000}">
      <text>
        <r>
          <rPr>
            <b/>
            <sz val="9"/>
            <color indexed="81"/>
            <rFont val="新細明體"/>
            <family val="1"/>
            <charset val="136"/>
          </rPr>
          <t>顯微鏡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4" authorId="0" shapeId="0" xr:uid="{00000000-0006-0000-0100-00000A000000}">
      <text>
        <r>
          <rPr>
            <b/>
            <sz val="9"/>
            <color indexed="81"/>
            <rFont val="新細明體"/>
            <family val="1"/>
            <charset val="136"/>
          </rPr>
          <t>硬度計</t>
        </r>
      </text>
    </comment>
    <comment ref="I15" authorId="0" shapeId="0" xr:uid="{00000000-0006-0000-0100-00000B000000}">
      <text>
        <r>
          <rPr>
            <b/>
            <sz val="9"/>
            <color indexed="81"/>
            <rFont val="新細明體"/>
            <family val="1"/>
            <charset val="136"/>
          </rPr>
          <t>膠布測試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6" authorId="0" shapeId="0" xr:uid="{00000000-0006-0000-0100-00000C000000}">
      <text>
        <r>
          <rPr>
            <b/>
            <sz val="9"/>
            <color indexed="81"/>
            <rFont val="新細明體"/>
            <family val="1"/>
            <charset val="136"/>
          </rPr>
          <t>厚薄規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7" authorId="0" shapeId="0" xr:uid="{00000000-0006-0000-0100-00000D000000}">
      <text>
        <r>
          <rPr>
            <b/>
            <sz val="9"/>
            <color indexed="81"/>
            <rFont val="Times New Roman"/>
            <family val="1"/>
          </rPr>
          <t>R(</t>
        </r>
        <r>
          <rPr>
            <b/>
            <sz val="9"/>
            <color indexed="81"/>
            <rFont val="新細明體"/>
            <family val="1"/>
            <charset val="136"/>
          </rPr>
          <t>圓弧</t>
        </r>
        <r>
          <rPr>
            <b/>
            <sz val="9"/>
            <color indexed="81"/>
            <rFont val="Times New Roman"/>
            <family val="1"/>
          </rPr>
          <t>)</t>
        </r>
        <r>
          <rPr>
            <b/>
            <sz val="9"/>
            <color indexed="81"/>
            <rFont val="新細明體"/>
            <family val="1"/>
            <charset val="136"/>
          </rPr>
          <t>規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8" authorId="0" shapeId="0" xr:uid="{00000000-0006-0000-0100-00000E000000}">
      <text>
        <r>
          <rPr>
            <b/>
            <sz val="9"/>
            <color indexed="81"/>
            <rFont val="新細明體"/>
            <family val="1"/>
            <charset val="136"/>
          </rPr>
          <t>目視檢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19" authorId="0" shapeId="0" xr:uid="{00000000-0006-0000-0100-00000F000000}">
      <text>
        <r>
          <rPr>
            <b/>
            <sz val="9"/>
            <color indexed="81"/>
            <rFont val="新細明體"/>
            <family val="1"/>
            <charset val="136"/>
          </rPr>
          <t>百分表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20" authorId="0" shapeId="0" xr:uid="{00000000-0006-0000-0100-000010000000}">
      <text>
        <r>
          <rPr>
            <b/>
            <sz val="9"/>
            <color indexed="81"/>
            <rFont val="新細明體"/>
            <family val="1"/>
            <charset val="136"/>
          </rPr>
          <t>高度計</t>
        </r>
      </text>
    </comment>
    <comment ref="I21" authorId="0" shapeId="0" xr:uid="{00000000-0006-0000-0100-000011000000}">
      <text>
        <r>
          <rPr>
            <b/>
            <sz val="9"/>
            <color indexed="81"/>
            <rFont val="新細明體"/>
            <family val="1"/>
            <charset val="136"/>
          </rPr>
          <t>色差儀</t>
        </r>
      </text>
    </comment>
    <comment ref="I22" authorId="0" shapeId="0" xr:uid="{00000000-0006-0000-0100-000012000000}">
      <text>
        <r>
          <rPr>
            <b/>
            <sz val="9"/>
            <color indexed="81"/>
            <rFont val="新細明體"/>
            <family val="1"/>
            <charset val="136"/>
          </rPr>
          <t>硬度計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23" authorId="0" shapeId="0" xr:uid="{00000000-0006-0000-0100-000013000000}">
      <text>
        <r>
          <rPr>
            <b/>
            <sz val="9"/>
            <color indexed="81"/>
            <rFont val="新細明體"/>
            <family val="1"/>
            <charset val="136"/>
          </rPr>
          <t>螺紋塞規</t>
        </r>
        <r>
          <rPr>
            <b/>
            <sz val="9"/>
            <color indexed="81"/>
            <rFont val="Times New Roman"/>
            <family val="1"/>
          </rPr>
          <t>(</t>
        </r>
        <r>
          <rPr>
            <b/>
            <sz val="9"/>
            <color indexed="81"/>
            <rFont val="新細明體"/>
            <family val="1"/>
            <charset val="136"/>
          </rPr>
          <t>牙規</t>
        </r>
        <r>
          <rPr>
            <b/>
            <sz val="9"/>
            <color indexed="81"/>
            <rFont val="Times New Roman"/>
            <family val="1"/>
          </rPr>
          <t>)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24" authorId="0" shapeId="0" xr:uid="{00000000-0006-0000-0100-000014000000}">
      <text>
        <r>
          <rPr>
            <b/>
            <sz val="9"/>
            <color indexed="81"/>
            <rFont val="新細明體"/>
            <family val="1"/>
            <charset val="136"/>
          </rPr>
          <t>螺紋環規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26" authorId="0" shapeId="0" xr:uid="{00000000-0006-0000-0100-000015000000}">
      <text>
        <r>
          <rPr>
            <b/>
            <sz val="9"/>
            <color indexed="81"/>
            <rFont val="Times New Roman"/>
            <family val="1"/>
          </rPr>
          <t>PMS</t>
        </r>
        <r>
          <rPr>
            <b/>
            <sz val="9"/>
            <color indexed="81"/>
            <rFont val="新細明體"/>
            <family val="1"/>
            <charset val="136"/>
          </rPr>
          <t>色卡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27" authorId="0" shapeId="0" xr:uid="{00000000-0006-0000-0100-000016000000}">
      <text>
        <r>
          <rPr>
            <b/>
            <sz val="9"/>
            <color indexed="81"/>
            <rFont val="新細明體"/>
            <family val="1"/>
            <charset val="136"/>
          </rPr>
          <t>拉力計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I28" authorId="0" shapeId="0" xr:uid="{00000000-0006-0000-0100-000017000000}">
      <text>
        <r>
          <rPr>
            <b/>
            <sz val="10"/>
            <color indexed="81"/>
            <rFont val="新細明體"/>
            <family val="1"/>
            <charset val="136"/>
          </rPr>
          <t>絶緣抵抗計</t>
        </r>
      </text>
    </comment>
  </commentList>
</comments>
</file>

<file path=xl/sharedStrings.xml><?xml version="1.0" encoding="utf-8"?>
<sst xmlns="http://schemas.openxmlformats.org/spreadsheetml/2006/main" count="618" uniqueCount="435">
  <si>
    <t/>
  </si>
  <si>
    <r>
      <t>Part No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</t>
    </r>
    <r>
      <rPr>
        <sz val="10"/>
        <rFont val="新細明體"/>
        <family val="1"/>
        <charset val="136"/>
      </rPr>
      <t>品號</t>
    </r>
  </si>
  <si>
    <r>
      <t>Inspected By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  </t>
    </r>
    <r>
      <rPr>
        <sz val="10"/>
        <rFont val="新細明體"/>
        <family val="1"/>
        <charset val="136"/>
      </rPr>
      <t>檢測者</t>
    </r>
  </si>
  <si>
    <r>
      <t xml:space="preserve">Concurred by        </t>
    </r>
    <r>
      <rPr>
        <sz val="10"/>
        <rFont val="新細明體"/>
        <family val="1"/>
        <charset val="136"/>
      </rPr>
      <t>主管同意</t>
    </r>
  </si>
  <si>
    <r>
      <t>Inspection Record</t>
    </r>
    <r>
      <rPr>
        <sz val="10"/>
        <rFont val="新細明體"/>
        <family val="1"/>
        <charset val="136"/>
      </rPr>
      <t>　檢測記錄</t>
    </r>
  </si>
  <si>
    <r>
      <t xml:space="preserve">Meas.(1)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(1)</t>
    </r>
  </si>
  <si>
    <r>
      <t xml:space="preserve">Meas.(2)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(2)</t>
    </r>
  </si>
  <si>
    <r>
      <t xml:space="preserve">Meas.(3)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(3)</t>
    </r>
  </si>
  <si>
    <r>
      <t xml:space="preserve">Meas.(4)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(4)</t>
    </r>
  </si>
  <si>
    <r>
      <t xml:space="preserve">Meas.(5)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(5)</t>
    </r>
  </si>
  <si>
    <r>
      <t xml:space="preserve">Meas.(6)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(6)</t>
    </r>
  </si>
  <si>
    <r>
      <t xml:space="preserve">Meas.(7)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(7)</t>
    </r>
  </si>
  <si>
    <r>
      <t xml:space="preserve">Meas.(8)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(8)</t>
    </r>
  </si>
  <si>
    <r>
      <t xml:space="preserve">Meas.(9)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(9)</t>
    </r>
  </si>
  <si>
    <r>
      <t xml:space="preserve">Meas.(10)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(10)</t>
    </r>
  </si>
  <si>
    <t>問題說明 Problem Statement</t>
    <phoneticPr fontId="4" type="noConversion"/>
  </si>
  <si>
    <r>
      <t xml:space="preserve">Total Qty       </t>
    </r>
    <r>
      <rPr>
        <sz val="10"/>
        <rFont val="新細明體"/>
        <family val="1"/>
        <charset val="136"/>
      </rPr>
      <t>總數</t>
    </r>
    <phoneticPr fontId="4" type="noConversion"/>
  </si>
  <si>
    <t>C=0</t>
    <phoneticPr fontId="4" type="noConversion"/>
  </si>
  <si>
    <t>ψ</t>
  </si>
  <si>
    <t>◎</t>
  </si>
  <si>
    <t>Inspection Method</t>
  </si>
  <si>
    <t>□</t>
  </si>
  <si>
    <t>平面度</t>
    <phoneticPr fontId="42" type="noConversion"/>
  </si>
  <si>
    <t>FLATNESS</t>
  </si>
  <si>
    <t>3D</t>
    <phoneticPr fontId="42" type="noConversion"/>
  </si>
  <si>
    <t>─</t>
  </si>
  <si>
    <t>真直度</t>
    <phoneticPr fontId="42" type="noConversion"/>
  </si>
  <si>
    <t>STRAIGHTNESS</t>
  </si>
  <si>
    <r>
      <t>投影機</t>
    </r>
    <r>
      <rPr>
        <sz val="10"/>
        <rFont val="Arial"/>
        <family val="2"/>
      </rPr>
      <t>(2.5D)</t>
    </r>
    <phoneticPr fontId="42" type="noConversion"/>
  </si>
  <si>
    <t>○</t>
    <phoneticPr fontId="4" type="noConversion"/>
  </si>
  <si>
    <t>真圓度</t>
    <phoneticPr fontId="42" type="noConversion"/>
  </si>
  <si>
    <t>○</t>
  </si>
  <si>
    <t>CIRCULARITY (ROUNDNESS)</t>
  </si>
  <si>
    <t>分厘卡</t>
    <phoneticPr fontId="42" type="noConversion"/>
  </si>
  <si>
    <t>圓柱度</t>
    <phoneticPr fontId="42" type="noConversion"/>
  </si>
  <si>
    <t>CYLINDRICITY</t>
  </si>
  <si>
    <t>卡尺</t>
    <phoneticPr fontId="42" type="noConversion"/>
  </si>
  <si>
    <t>⊥</t>
    <phoneticPr fontId="4" type="noConversion"/>
  </si>
  <si>
    <t>垂直度</t>
    <phoneticPr fontId="42" type="noConversion"/>
  </si>
  <si>
    <t>⊥</t>
  </si>
  <si>
    <t>PERPENDICULARITY</t>
  </si>
  <si>
    <t>Smartscope</t>
    <phoneticPr fontId="42" type="noConversion"/>
  </si>
  <si>
    <t>∠</t>
  </si>
  <si>
    <t>角度</t>
    <phoneticPr fontId="42" type="noConversion"/>
  </si>
  <si>
    <t>ANGULARITY</t>
    <phoneticPr fontId="35" type="noConversion"/>
  </si>
  <si>
    <t>Plug Gauge</t>
    <phoneticPr fontId="42" type="noConversion"/>
  </si>
  <si>
    <r>
      <t>塞規</t>
    </r>
    <r>
      <rPr>
        <sz val="10"/>
        <rFont val="Times New Roman"/>
        <family val="1"/>
      </rPr>
      <t>(PIN GAUGE)</t>
    </r>
    <phoneticPr fontId="42" type="noConversion"/>
  </si>
  <si>
    <t>平行度</t>
    <phoneticPr fontId="42" type="noConversion"/>
  </si>
  <si>
    <t>PARALLELISM</t>
  </si>
  <si>
    <t>Gear Tester</t>
    <phoneticPr fontId="42" type="noConversion"/>
  </si>
  <si>
    <t>齒輪檢測儀</t>
    <phoneticPr fontId="42" type="noConversion"/>
  </si>
  <si>
    <t>曲面輪廓</t>
    <phoneticPr fontId="42" type="noConversion"/>
  </si>
  <si>
    <t>PROFILE OF A SURFACE</t>
  </si>
  <si>
    <t>COF Tester</t>
    <phoneticPr fontId="42" type="noConversion"/>
  </si>
  <si>
    <t>曲線輪廓</t>
    <phoneticPr fontId="42" type="noConversion"/>
  </si>
  <si>
    <t>PROFILE OF A LINE</t>
  </si>
  <si>
    <t>Surface Analyser</t>
    <phoneticPr fontId="42" type="noConversion"/>
  </si>
  <si>
    <r>
      <t>表面分析儀</t>
    </r>
    <r>
      <rPr>
        <sz val="10"/>
        <rFont val="Times New Roman"/>
        <family val="1"/>
      </rPr>
      <t>(</t>
    </r>
    <r>
      <rPr>
        <sz val="10"/>
        <rFont val="細明體"/>
        <family val="3"/>
        <charset val="136"/>
      </rPr>
      <t>輪廓粗糙度儀</t>
    </r>
    <r>
      <rPr>
        <sz val="10"/>
        <rFont val="Times New Roman"/>
        <family val="1"/>
      </rPr>
      <t>)</t>
    </r>
    <phoneticPr fontId="42" type="noConversion"/>
  </si>
  <si>
    <t>↗</t>
    <phoneticPr fontId="4" type="noConversion"/>
  </si>
  <si>
    <t>偏擺度</t>
    <phoneticPr fontId="42" type="noConversion"/>
  </si>
  <si>
    <t>CIRCULAR RUNOUT</t>
  </si>
  <si>
    <t>Non Contact Inspection</t>
    <phoneticPr fontId="42" type="noConversion"/>
  </si>
  <si>
    <t>非接觸檢測</t>
    <phoneticPr fontId="42" type="noConversion"/>
  </si>
  <si>
    <t>總偏擺度</t>
    <phoneticPr fontId="42" type="noConversion"/>
  </si>
  <si>
    <t>TOTAL RUNOUT</t>
  </si>
  <si>
    <t>Microscope</t>
    <phoneticPr fontId="42" type="noConversion"/>
  </si>
  <si>
    <t>顯微鏡</t>
    <phoneticPr fontId="42" type="noConversion"/>
  </si>
  <si>
    <t>⊕</t>
    <phoneticPr fontId="4" type="noConversion"/>
  </si>
  <si>
    <t>正位度</t>
    <phoneticPr fontId="42" type="noConversion"/>
  </si>
  <si>
    <t>⊕</t>
  </si>
  <si>
    <t>POSITION</t>
  </si>
  <si>
    <t>Durometer</t>
    <phoneticPr fontId="42" type="noConversion"/>
  </si>
  <si>
    <t>硬度計</t>
    <phoneticPr fontId="42" type="noConversion"/>
  </si>
  <si>
    <t>◎</t>
    <phoneticPr fontId="4" type="noConversion"/>
  </si>
  <si>
    <t>圓心圓</t>
    <phoneticPr fontId="42" type="noConversion"/>
  </si>
  <si>
    <t>CONCENTRICITY</t>
  </si>
  <si>
    <t>Tape Test</t>
    <phoneticPr fontId="42" type="noConversion"/>
  </si>
  <si>
    <t>膠布測試</t>
    <phoneticPr fontId="42" type="noConversion"/>
  </si>
  <si>
    <t>對稱度</t>
    <phoneticPr fontId="42" type="noConversion"/>
  </si>
  <si>
    <t>SYMMETRY</t>
  </si>
  <si>
    <t>Feeler Gage</t>
    <phoneticPr fontId="42" type="noConversion"/>
  </si>
  <si>
    <t>厚薄規</t>
    <phoneticPr fontId="42" type="noConversion"/>
  </si>
  <si>
    <t>最大材料</t>
    <phoneticPr fontId="42" type="noConversion"/>
  </si>
  <si>
    <t>MAXIMUM MATERIAL CONDITION</t>
    <phoneticPr fontId="42" type="noConversion"/>
  </si>
  <si>
    <t>Radius Gage</t>
    <phoneticPr fontId="42" type="noConversion"/>
  </si>
  <si>
    <t>R(圓弧)規</t>
    <phoneticPr fontId="42" type="noConversion"/>
  </si>
  <si>
    <t>REGARDLESS OF FEATURE SIZE</t>
  </si>
  <si>
    <t>Visual Inspection</t>
    <phoneticPr fontId="42" type="noConversion"/>
  </si>
  <si>
    <t>目視檢</t>
    <phoneticPr fontId="42" type="noConversion"/>
  </si>
  <si>
    <t>最小材料</t>
    <phoneticPr fontId="42" type="noConversion"/>
  </si>
  <si>
    <t>LEAST MATERIAL CONDITION</t>
  </si>
  <si>
    <t>Dial Indicator</t>
    <phoneticPr fontId="42" type="noConversion"/>
  </si>
  <si>
    <t>百分表</t>
    <phoneticPr fontId="42" type="noConversion"/>
  </si>
  <si>
    <t>PROJECTED TOLERANCE ZONE</t>
  </si>
  <si>
    <t>高度計</t>
    <phoneticPr fontId="42" type="noConversion"/>
  </si>
  <si>
    <t>直徑</t>
    <phoneticPr fontId="42" type="noConversion"/>
  </si>
  <si>
    <t>DIAMETER</t>
    <phoneticPr fontId="35" type="noConversion"/>
  </si>
  <si>
    <t>Color Meter</t>
    <phoneticPr fontId="42" type="noConversion"/>
  </si>
  <si>
    <t>色差儀</t>
    <phoneticPr fontId="42" type="noConversion"/>
  </si>
  <si>
    <t>↓</t>
    <phoneticPr fontId="42" type="noConversion"/>
  </si>
  <si>
    <t>深度</t>
    <phoneticPr fontId="42" type="noConversion"/>
  </si>
  <si>
    <t>↓</t>
  </si>
  <si>
    <t>DEPTH</t>
    <phoneticPr fontId="42" type="noConversion"/>
  </si>
  <si>
    <t>長度</t>
    <phoneticPr fontId="35" type="noConversion"/>
  </si>
  <si>
    <t>LENGTH</t>
    <phoneticPr fontId="35" type="noConversion"/>
  </si>
  <si>
    <t>Thread Plug Gage</t>
    <phoneticPr fontId="42" type="noConversion"/>
  </si>
  <si>
    <r>
      <t>螺紋塞規</t>
    </r>
    <r>
      <rPr>
        <sz val="10"/>
        <rFont val="Times New Roman"/>
        <family val="1"/>
      </rPr>
      <t>(</t>
    </r>
    <r>
      <rPr>
        <sz val="10"/>
        <rFont val="細明體"/>
        <family val="3"/>
        <charset val="136"/>
      </rPr>
      <t>牙規</t>
    </r>
    <r>
      <rPr>
        <sz val="10"/>
        <rFont val="Times New Roman"/>
        <family val="1"/>
      </rPr>
      <t>)</t>
    </r>
    <phoneticPr fontId="42" type="noConversion"/>
  </si>
  <si>
    <t>寬度</t>
    <phoneticPr fontId="35" type="noConversion"/>
  </si>
  <si>
    <t>WIDTH</t>
    <phoneticPr fontId="35" type="noConversion"/>
  </si>
  <si>
    <t>Thread Ring Gage</t>
    <phoneticPr fontId="42" type="noConversion"/>
  </si>
  <si>
    <t>螺紋環規</t>
    <phoneticPr fontId="42" type="noConversion"/>
  </si>
  <si>
    <t>厚度</t>
    <phoneticPr fontId="42" type="noConversion"/>
  </si>
  <si>
    <t>THICKNESS</t>
    <phoneticPr fontId="42" type="noConversion"/>
  </si>
  <si>
    <t>距離</t>
    <phoneticPr fontId="35" type="noConversion"/>
  </si>
  <si>
    <t>PMS Color Chart</t>
    <phoneticPr fontId="42" type="noConversion"/>
  </si>
  <si>
    <t>PMS色卡</t>
    <phoneticPr fontId="42" type="noConversion"/>
  </si>
  <si>
    <t>R角</t>
    <phoneticPr fontId="35" type="noConversion"/>
  </si>
  <si>
    <t>Digital Push Tester</t>
    <phoneticPr fontId="42" type="noConversion"/>
  </si>
  <si>
    <t>拉力計</t>
    <phoneticPr fontId="42" type="noConversion"/>
  </si>
  <si>
    <t>C角</t>
    <phoneticPr fontId="35" type="noConversion"/>
  </si>
  <si>
    <t>Insulation Resistance Tester</t>
    <phoneticPr fontId="42" type="noConversion"/>
  </si>
  <si>
    <t>螺絲</t>
    <phoneticPr fontId="35" type="noConversion"/>
  </si>
  <si>
    <t>THREAD</t>
    <phoneticPr fontId="35" type="noConversion"/>
  </si>
  <si>
    <r>
      <t xml:space="preserve">絕緣值測試
</t>
    </r>
    <r>
      <rPr>
        <sz val="10"/>
        <rFont val="Times New Roman"/>
        <family val="1"/>
      </rPr>
      <t>1000M OHM-KV-CM</t>
    </r>
    <phoneticPr fontId="42" type="noConversion"/>
  </si>
  <si>
    <t>粗糙度</t>
    <phoneticPr fontId="42" type="noConversion"/>
  </si>
  <si>
    <t>ROUGHNESS</t>
    <phoneticPr fontId="42" type="noConversion"/>
  </si>
  <si>
    <t>外觀</t>
    <phoneticPr fontId="42" type="noConversion"/>
  </si>
  <si>
    <t>APPEARANCE</t>
    <phoneticPr fontId="42" type="noConversion"/>
  </si>
  <si>
    <t>牙孔</t>
    <phoneticPr fontId="42" type="noConversion"/>
  </si>
  <si>
    <t>SCREW HOLE</t>
    <phoneticPr fontId="42" type="noConversion"/>
  </si>
  <si>
    <t>ANGLE</t>
    <phoneticPr fontId="42" type="noConversion"/>
  </si>
  <si>
    <t>拉力</t>
    <phoneticPr fontId="42" type="noConversion"/>
  </si>
  <si>
    <t>Shrink Fit NOTE #1&amp;2</t>
    <phoneticPr fontId="42" type="noConversion"/>
  </si>
  <si>
    <t>焊接</t>
    <phoneticPr fontId="42" type="noConversion"/>
  </si>
  <si>
    <t>WELDING</t>
    <phoneticPr fontId="42" type="noConversion"/>
  </si>
  <si>
    <r>
      <t>N</t>
    </r>
    <r>
      <rPr>
        <sz val="10"/>
        <rFont val="Arial"/>
        <family val="2"/>
      </rPr>
      <t>OTE</t>
    </r>
    <r>
      <rPr>
        <sz val="10"/>
        <rFont val="Arial"/>
        <family val="2"/>
      </rPr>
      <t>1</t>
    </r>
    <phoneticPr fontId="42" type="noConversion"/>
  </si>
  <si>
    <r>
      <t>OK</t>
    </r>
    <r>
      <rPr>
        <sz val="10"/>
        <rFont val="細明體"/>
        <family val="3"/>
        <charset val="136"/>
      </rPr>
      <t>，</t>
    </r>
    <r>
      <rPr>
        <sz val="10"/>
        <color indexed="10"/>
        <rFont val="細明體"/>
        <family val="3"/>
        <charset val="136"/>
      </rPr>
      <t>修正管制尺寸</t>
    </r>
    <phoneticPr fontId="42" type="noConversion"/>
  </si>
  <si>
    <t>Plug Gauge "GO" &amp; "NO GO" OK</t>
  </si>
  <si>
    <t>■</t>
    <phoneticPr fontId="4" type="noConversion"/>
  </si>
  <si>
    <t>Ω</t>
    <phoneticPr fontId="4" type="noConversion"/>
  </si>
  <si>
    <t>≧</t>
  </si>
  <si>
    <t>≦</t>
  </si>
  <si>
    <t>±</t>
  </si>
  <si>
    <t>μ</t>
    <phoneticPr fontId="42" type="noConversion"/>
  </si>
  <si>
    <r>
      <t>(代碼)問題說明 Problem Statement:(A)</t>
    </r>
    <r>
      <rPr>
        <sz val="12"/>
        <color theme="1"/>
        <rFont val="細明體"/>
        <family val="3"/>
        <charset val="136"/>
      </rPr>
      <t xml:space="preserve">尺寸未在規格內(Dimension out of specification) </t>
    </r>
    <r>
      <rPr>
        <b/>
        <sz val="12"/>
        <color theme="1"/>
        <rFont val="細明體"/>
        <family val="3"/>
        <charset val="136"/>
      </rPr>
      <t>(B)</t>
    </r>
    <r>
      <rPr>
        <sz val="12"/>
        <color theme="1"/>
        <rFont val="細明體"/>
        <family val="3"/>
        <charset val="136"/>
      </rPr>
      <t xml:space="preserve">氣孔/砂孔(Pin hole/Porosity) </t>
    </r>
    <r>
      <rPr>
        <b/>
        <sz val="12"/>
        <color theme="1"/>
        <rFont val="細明體"/>
        <family val="3"/>
        <charset val="136"/>
      </rPr>
      <t>(C)</t>
    </r>
    <r>
      <rPr>
        <sz val="12"/>
        <color theme="1"/>
        <rFont val="細明體"/>
        <family val="3"/>
        <charset val="136"/>
      </rPr>
      <t xml:space="preserve">裂痕(Crack) </t>
    </r>
    <r>
      <rPr>
        <b/>
        <sz val="12"/>
        <color theme="1"/>
        <rFont val="細明體"/>
        <family val="3"/>
        <charset val="136"/>
      </rPr>
      <t>(D)</t>
    </r>
    <r>
      <rPr>
        <sz val="12"/>
        <color theme="1"/>
        <rFont val="細明體"/>
        <family val="3"/>
        <charset val="136"/>
      </rPr>
      <t>刮痕/壓傷(Scratch/Dent)</t>
    </r>
    <r>
      <rPr>
        <b/>
        <sz val="12"/>
        <color theme="1"/>
        <rFont val="細明體"/>
        <family val="3"/>
        <charset val="136"/>
      </rPr>
      <t>(E)</t>
    </r>
    <r>
      <rPr>
        <sz val="12"/>
        <color theme="1"/>
        <rFont val="細明體"/>
        <family val="3"/>
        <charset val="136"/>
      </rPr>
      <t xml:space="preserve">外觀缺角(Appearance dent)/牙崩角(Thread of screw dent) </t>
    </r>
    <r>
      <rPr>
        <b/>
        <sz val="12"/>
        <color theme="1"/>
        <rFont val="細明體"/>
        <family val="3"/>
        <charset val="136"/>
      </rPr>
      <t>(F)</t>
    </r>
    <r>
      <rPr>
        <sz val="12"/>
        <color theme="1"/>
        <rFont val="細明體"/>
        <family val="3"/>
        <charset val="136"/>
      </rPr>
      <t xml:space="preserve">段差 (Segment difference) </t>
    </r>
    <r>
      <rPr>
        <b/>
        <sz val="12"/>
        <color theme="1"/>
        <rFont val="細明體"/>
        <family val="3"/>
        <charset val="136"/>
      </rPr>
      <t>(G)</t>
    </r>
    <r>
      <rPr>
        <sz val="12"/>
        <color theme="1"/>
        <rFont val="細明體"/>
        <family val="3"/>
        <charset val="136"/>
      </rPr>
      <t xml:space="preserve">毛邊(Burr) </t>
    </r>
    <r>
      <rPr>
        <b/>
        <sz val="12"/>
        <color theme="1"/>
        <rFont val="細明體"/>
        <family val="3"/>
        <charset val="136"/>
      </rPr>
      <t>(H)</t>
    </r>
    <r>
      <rPr>
        <sz val="12"/>
        <color theme="1"/>
        <rFont val="細明體"/>
        <family val="3"/>
        <charset val="136"/>
      </rPr>
      <t xml:space="preserve">髒污(Stain) </t>
    </r>
    <r>
      <rPr>
        <b/>
        <sz val="12"/>
        <color theme="1"/>
        <rFont val="細明體"/>
        <family val="3"/>
        <charset val="136"/>
      </rPr>
      <t>(I)</t>
    </r>
    <r>
      <rPr>
        <sz val="12"/>
        <color theme="1"/>
        <rFont val="細明體"/>
        <family val="3"/>
        <charset val="136"/>
      </rPr>
      <t>與圖不符(Not match with the drawing)</t>
    </r>
    <r>
      <rPr>
        <b/>
        <sz val="12"/>
        <color theme="1"/>
        <rFont val="細明體"/>
        <family val="3"/>
        <charset val="136"/>
      </rPr>
      <t>(J)</t>
    </r>
    <r>
      <rPr>
        <sz val="12"/>
        <color theme="1"/>
        <rFont val="細明體"/>
        <family val="3"/>
        <charset val="136"/>
      </rPr>
      <t>螺牙Gauge NG(Thread Ring Gauge/Thread Plug Gauge NG)</t>
    </r>
    <r>
      <rPr>
        <b/>
        <sz val="12"/>
        <color theme="1"/>
        <rFont val="細明體"/>
        <family val="3"/>
        <charset val="136"/>
      </rPr>
      <t>(K)</t>
    </r>
    <r>
      <rPr>
        <sz val="12"/>
        <color theme="1"/>
        <rFont val="細明體"/>
        <family val="3"/>
        <charset val="136"/>
      </rPr>
      <t>其他/敘述問題Others/Problem description)</t>
    </r>
    <phoneticPr fontId="4" type="noConversion"/>
  </si>
  <si>
    <t>Hardness Tester</t>
    <phoneticPr fontId="42" type="noConversion"/>
  </si>
  <si>
    <r>
      <t xml:space="preserve">ZONE
</t>
    </r>
    <r>
      <rPr>
        <sz val="10"/>
        <rFont val="細明體"/>
        <family val="3"/>
        <charset val="136"/>
      </rPr>
      <t>圖區</t>
    </r>
    <phoneticPr fontId="4" type="noConversion"/>
  </si>
  <si>
    <r>
      <t xml:space="preserve">Rev                </t>
    </r>
    <r>
      <rPr>
        <sz val="10"/>
        <rFont val="細明體"/>
        <family val="3"/>
        <charset val="136"/>
      </rPr>
      <t>版次</t>
    </r>
    <phoneticPr fontId="1" type="noConversion"/>
  </si>
  <si>
    <t>產品檢驗表  Supplier  Outgoing Inspection Plan</t>
    <phoneticPr fontId="1" type="noConversion"/>
  </si>
  <si>
    <t>mm</t>
  </si>
  <si>
    <t>OK</t>
    <phoneticPr fontId="1" type="noConversion"/>
  </si>
  <si>
    <r>
      <t>文件編號：</t>
    </r>
    <r>
      <rPr>
        <sz val="10"/>
        <rFont val="Times New Roman"/>
        <family val="1"/>
      </rPr>
      <t>P-19-04D</t>
    </r>
    <phoneticPr fontId="4" type="noConversion"/>
  </si>
  <si>
    <r>
      <t>附</t>
    </r>
    <r>
      <rPr>
        <b/>
        <sz val="12"/>
        <color indexed="10"/>
        <rFont val="Times New Roman"/>
        <family val="1"/>
      </rPr>
      <t xml:space="preserve">COC </t>
    </r>
    <phoneticPr fontId="4" type="noConversion"/>
  </si>
  <si>
    <t>5 tape tests</t>
  </si>
  <si>
    <t>W/MO_0. 5PPM</t>
    <phoneticPr fontId="42" type="noConversion"/>
  </si>
  <si>
    <t>W99.99%/MO&lt;=3PPM</t>
    <phoneticPr fontId="4" type="noConversion"/>
  </si>
  <si>
    <t>W/MO_3ppm</t>
    <phoneticPr fontId="42" type="noConversion"/>
  </si>
  <si>
    <t>±</t>
    <phoneticPr fontId="4" type="noConversion"/>
  </si>
  <si>
    <t>↓</t>
    <phoneticPr fontId="4" type="noConversion"/>
  </si>
  <si>
    <t>Ω</t>
  </si>
  <si>
    <r>
      <t>↑</t>
    </r>
    <r>
      <rPr>
        <b/>
        <sz val="14"/>
        <rFont val="新細明體"/>
        <family val="1"/>
        <charset val="136"/>
      </rPr>
      <t>↑</t>
    </r>
    <phoneticPr fontId="4" type="noConversion"/>
  </si>
  <si>
    <t>OK</t>
  </si>
  <si>
    <r>
      <t xml:space="preserve">Item #
</t>
    </r>
    <r>
      <rPr>
        <sz val="13"/>
        <color indexed="56"/>
        <rFont val="細明體"/>
        <family val="3"/>
        <charset val="136"/>
      </rPr>
      <t>編</t>
    </r>
    <r>
      <rPr>
        <sz val="13"/>
        <color indexed="56"/>
        <rFont val="Arial"/>
        <family val="2"/>
      </rPr>
      <t xml:space="preserve">  </t>
    </r>
    <r>
      <rPr>
        <sz val="13"/>
        <color indexed="56"/>
        <rFont val="細明體"/>
        <family val="3"/>
        <charset val="136"/>
      </rPr>
      <t>號</t>
    </r>
    <phoneticPr fontId="42" type="noConversion"/>
  </si>
  <si>
    <r>
      <t xml:space="preserve">Drawing
Sheet
</t>
    </r>
    <r>
      <rPr>
        <sz val="13"/>
        <color indexed="56"/>
        <rFont val="細明體"/>
        <family val="3"/>
        <charset val="136"/>
      </rPr>
      <t>圖</t>
    </r>
    <r>
      <rPr>
        <sz val="13"/>
        <color indexed="56"/>
        <rFont val="Arial"/>
        <family val="2"/>
      </rPr>
      <t xml:space="preserve">  </t>
    </r>
    <r>
      <rPr>
        <sz val="13"/>
        <color indexed="56"/>
        <rFont val="細明體"/>
        <family val="3"/>
        <charset val="136"/>
      </rPr>
      <t>數</t>
    </r>
    <phoneticPr fontId="42" type="noConversion"/>
  </si>
  <si>
    <r>
      <t xml:space="preserve">ZONE
</t>
    </r>
    <r>
      <rPr>
        <sz val="13"/>
        <color indexed="56"/>
        <rFont val="細明體"/>
        <family val="3"/>
        <charset val="136"/>
      </rPr>
      <t>標識位置</t>
    </r>
    <phoneticPr fontId="42" type="noConversion"/>
  </si>
  <si>
    <r>
      <t xml:space="preserve">Specification
Imperial (Metric)
</t>
    </r>
    <r>
      <rPr>
        <sz val="13"/>
        <color indexed="56"/>
        <rFont val="細明體"/>
        <family val="3"/>
        <charset val="136"/>
      </rPr>
      <t>規</t>
    </r>
    <r>
      <rPr>
        <sz val="13"/>
        <color indexed="56"/>
        <rFont val="Arial"/>
        <family val="2"/>
      </rPr>
      <t xml:space="preserve">  </t>
    </r>
    <r>
      <rPr>
        <sz val="13"/>
        <color indexed="56"/>
        <rFont val="細明體"/>
        <family val="3"/>
        <charset val="136"/>
      </rPr>
      <t>格</t>
    </r>
    <phoneticPr fontId="42" type="noConversion"/>
  </si>
  <si>
    <r>
      <t xml:space="preserve">Tolerance
Imperial (Metric)
</t>
    </r>
    <r>
      <rPr>
        <sz val="13"/>
        <color indexed="56"/>
        <rFont val="細明體"/>
        <family val="3"/>
        <charset val="136"/>
      </rPr>
      <t>公</t>
    </r>
    <r>
      <rPr>
        <sz val="13"/>
        <color indexed="56"/>
        <rFont val="Arial"/>
        <family val="2"/>
      </rPr>
      <t xml:space="preserve">  </t>
    </r>
    <r>
      <rPr>
        <sz val="13"/>
        <color indexed="56"/>
        <rFont val="細明體"/>
        <family val="3"/>
        <charset val="136"/>
      </rPr>
      <t>差</t>
    </r>
    <phoneticPr fontId="42" type="noConversion"/>
  </si>
  <si>
    <r>
      <t xml:space="preserve">OGQC
</t>
    </r>
    <r>
      <rPr>
        <sz val="13"/>
        <color indexed="56"/>
        <rFont val="細明體"/>
        <family val="3"/>
        <charset val="136"/>
      </rPr>
      <t>出貨檢驗</t>
    </r>
    <phoneticPr fontId="42" type="noConversion"/>
  </si>
  <si>
    <r>
      <t xml:space="preserve">Measuring Equipment
</t>
    </r>
    <r>
      <rPr>
        <sz val="13"/>
        <color indexed="56"/>
        <rFont val="細明體"/>
        <family val="3"/>
        <charset val="136"/>
      </rPr>
      <t>量測設備</t>
    </r>
    <phoneticPr fontId="42" type="noConversion"/>
  </si>
  <si>
    <r>
      <t>Inspection Record</t>
    </r>
    <r>
      <rPr>
        <b/>
        <sz val="13"/>
        <color indexed="56"/>
        <rFont val="細明體"/>
        <family val="3"/>
        <charset val="136"/>
      </rPr>
      <t>　</t>
    </r>
    <r>
      <rPr>
        <sz val="13"/>
        <color indexed="56"/>
        <rFont val="細明體"/>
        <family val="3"/>
        <charset val="136"/>
      </rPr>
      <t>檢測記錄</t>
    </r>
    <phoneticPr fontId="42" type="noConversion"/>
  </si>
  <si>
    <r>
      <t xml:space="preserve">Meas.(1)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 xml:space="preserve"> (1)</t>
    </r>
    <phoneticPr fontId="42" type="noConversion"/>
  </si>
  <si>
    <r>
      <t xml:space="preserve">Meas.(2)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 xml:space="preserve"> (2)</t>
    </r>
    <phoneticPr fontId="42" type="noConversion"/>
  </si>
  <si>
    <r>
      <t xml:space="preserve">Meas.(3)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 xml:space="preserve"> (3)</t>
    </r>
    <phoneticPr fontId="42" type="noConversion"/>
  </si>
  <si>
    <r>
      <t xml:space="preserve">Meas.(4)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 xml:space="preserve"> (4)</t>
    </r>
    <r>
      <rPr>
        <sz val="10"/>
        <rFont val="Arial"/>
        <family val="2"/>
      </rPr>
      <t/>
    </r>
    <phoneticPr fontId="42" type="noConversion"/>
  </si>
  <si>
    <r>
      <t xml:space="preserve">Meas.(5)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 xml:space="preserve"> (5)</t>
    </r>
    <r>
      <rPr>
        <sz val="10"/>
        <rFont val="Arial"/>
        <family val="2"/>
      </rPr>
      <t/>
    </r>
    <phoneticPr fontId="42" type="noConversion"/>
  </si>
  <si>
    <r>
      <t xml:space="preserve">Meas.(6)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 xml:space="preserve"> (6)</t>
    </r>
    <r>
      <rPr>
        <sz val="10"/>
        <rFont val="Arial"/>
        <family val="2"/>
      </rPr>
      <t/>
    </r>
    <phoneticPr fontId="42" type="noConversion"/>
  </si>
  <si>
    <r>
      <t xml:space="preserve">Meas.(7)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(7)</t>
    </r>
    <r>
      <rPr>
        <sz val="10"/>
        <rFont val="Arial"/>
        <family val="2"/>
      </rPr>
      <t/>
    </r>
    <phoneticPr fontId="42" type="noConversion"/>
  </si>
  <si>
    <r>
      <t xml:space="preserve">Meas.(8)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(8)</t>
    </r>
    <r>
      <rPr>
        <sz val="10"/>
        <rFont val="Arial"/>
        <family val="2"/>
      </rPr>
      <t/>
    </r>
    <phoneticPr fontId="42" type="noConversion"/>
  </si>
  <si>
    <r>
      <t xml:space="preserve">Meas.(9)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(9)</t>
    </r>
    <r>
      <rPr>
        <sz val="10"/>
        <rFont val="Arial"/>
        <family val="2"/>
      </rPr>
      <t/>
    </r>
    <phoneticPr fontId="42" type="noConversion"/>
  </si>
  <si>
    <r>
      <t xml:space="preserve">Meas.(10)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(10)</t>
    </r>
    <r>
      <rPr>
        <sz val="10"/>
        <rFont val="Arial"/>
        <family val="2"/>
      </rPr>
      <t/>
    </r>
    <phoneticPr fontId="42" type="noConversion"/>
  </si>
  <si>
    <r>
      <t xml:space="preserve">Meas.(11)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(11)</t>
    </r>
    <r>
      <rPr>
        <sz val="10"/>
        <rFont val="Arial"/>
        <family val="2"/>
      </rPr>
      <t/>
    </r>
    <phoneticPr fontId="42" type="noConversion"/>
  </si>
  <si>
    <r>
      <t xml:space="preserve">Meas.(12)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(12)</t>
    </r>
    <r>
      <rPr>
        <sz val="10"/>
        <rFont val="Arial"/>
        <family val="2"/>
      </rPr>
      <t/>
    </r>
    <phoneticPr fontId="42" type="noConversion"/>
  </si>
  <si>
    <r>
      <t xml:space="preserve">Meas.(13)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(13)</t>
    </r>
    <r>
      <rPr>
        <sz val="10"/>
        <rFont val="Arial"/>
        <family val="2"/>
      </rPr>
      <t/>
    </r>
    <phoneticPr fontId="42" type="noConversion"/>
  </si>
  <si>
    <r>
      <t xml:space="preserve">Meas.(14) 
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(14)</t>
    </r>
    <r>
      <rPr>
        <sz val="10"/>
        <rFont val="Arial"/>
        <family val="2"/>
      </rPr>
      <t/>
    </r>
    <phoneticPr fontId="42" type="noConversion"/>
  </si>
  <si>
    <r>
      <t xml:space="preserve">Inspection Record  </t>
    </r>
    <r>
      <rPr>
        <sz val="13"/>
        <color indexed="56"/>
        <rFont val="細明體"/>
        <family val="3"/>
        <charset val="136"/>
      </rPr>
      <t>檢測記錄</t>
    </r>
    <phoneticPr fontId="42" type="noConversion"/>
  </si>
  <si>
    <r>
      <t xml:space="preserve">Meas.(15)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(15)</t>
    </r>
    <phoneticPr fontId="42" type="noConversion"/>
  </si>
  <si>
    <r>
      <t xml:space="preserve">Meas.(16)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(16)</t>
    </r>
    <r>
      <rPr>
        <sz val="10"/>
        <rFont val="Arial"/>
        <family val="2"/>
      </rPr>
      <t/>
    </r>
    <phoneticPr fontId="42" type="noConversion"/>
  </si>
  <si>
    <r>
      <t xml:space="preserve">Meas.(17)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(17)</t>
    </r>
    <r>
      <rPr>
        <sz val="10"/>
        <rFont val="Arial"/>
        <family val="2"/>
      </rPr>
      <t/>
    </r>
    <phoneticPr fontId="42" type="noConversion"/>
  </si>
  <si>
    <r>
      <t xml:space="preserve">Meas.(18)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(18)</t>
    </r>
    <r>
      <rPr>
        <sz val="10"/>
        <rFont val="Arial"/>
        <family val="2"/>
      </rPr>
      <t/>
    </r>
    <phoneticPr fontId="42" type="noConversion"/>
  </si>
  <si>
    <r>
      <t xml:space="preserve">Meas.(19)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(19)</t>
    </r>
    <r>
      <rPr>
        <sz val="10"/>
        <rFont val="Arial"/>
        <family val="2"/>
      </rPr>
      <t/>
    </r>
    <phoneticPr fontId="42" type="noConversion"/>
  </si>
  <si>
    <r>
      <t xml:space="preserve">Meas.(20)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(20)</t>
    </r>
    <r>
      <rPr>
        <sz val="10"/>
        <rFont val="Arial"/>
        <family val="2"/>
      </rPr>
      <t/>
    </r>
    <phoneticPr fontId="42" type="noConversion"/>
  </si>
  <si>
    <r>
      <t xml:space="preserve">Meas.(21)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(21)</t>
    </r>
    <r>
      <rPr>
        <sz val="10"/>
        <rFont val="Arial"/>
        <family val="2"/>
      </rPr>
      <t/>
    </r>
    <phoneticPr fontId="42" type="noConversion"/>
  </si>
  <si>
    <r>
      <t xml:space="preserve">Meas.(22)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(22)</t>
    </r>
    <r>
      <rPr>
        <sz val="10"/>
        <rFont val="Arial"/>
        <family val="2"/>
      </rPr>
      <t/>
    </r>
    <phoneticPr fontId="42" type="noConversion"/>
  </si>
  <si>
    <r>
      <t xml:space="preserve">Meas.(23)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(24)</t>
    </r>
    <r>
      <rPr>
        <sz val="10"/>
        <rFont val="Arial"/>
        <family val="2"/>
      </rPr>
      <t/>
    </r>
    <phoneticPr fontId="42" type="noConversion"/>
  </si>
  <si>
    <r>
      <t xml:space="preserve">Meas.(24)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(24)</t>
    </r>
    <r>
      <rPr>
        <sz val="10"/>
        <rFont val="Arial"/>
        <family val="2"/>
      </rPr>
      <t/>
    </r>
    <phoneticPr fontId="42" type="noConversion"/>
  </si>
  <si>
    <r>
      <t xml:space="preserve">Meas.(25)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(25)</t>
    </r>
    <r>
      <rPr>
        <sz val="10"/>
        <rFont val="Arial"/>
        <family val="2"/>
      </rPr>
      <t/>
    </r>
    <phoneticPr fontId="42" type="noConversion"/>
  </si>
  <si>
    <r>
      <t xml:space="preserve">Meas.(26)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(26)</t>
    </r>
    <r>
      <rPr>
        <sz val="10"/>
        <rFont val="Arial"/>
        <family val="2"/>
      </rPr>
      <t/>
    </r>
    <phoneticPr fontId="42" type="noConversion"/>
  </si>
  <si>
    <r>
      <t xml:space="preserve">Meas.(27)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(27)</t>
    </r>
    <r>
      <rPr>
        <sz val="10"/>
        <rFont val="Arial"/>
        <family val="2"/>
      </rPr>
      <t/>
    </r>
    <phoneticPr fontId="42" type="noConversion"/>
  </si>
  <si>
    <r>
      <t xml:space="preserve">Meas.(28)                 </t>
    </r>
    <r>
      <rPr>
        <sz val="13"/>
        <color indexed="56"/>
        <rFont val="細明體"/>
        <family val="3"/>
        <charset val="136"/>
      </rPr>
      <t>量測值</t>
    </r>
    <r>
      <rPr>
        <sz val="13"/>
        <color indexed="56"/>
        <rFont val="Arial"/>
        <family val="2"/>
      </rPr>
      <t>(28)</t>
    </r>
    <r>
      <rPr>
        <sz val="10"/>
        <rFont val="Arial"/>
        <family val="2"/>
      </rPr>
      <t/>
    </r>
    <phoneticPr fontId="42" type="noConversion"/>
  </si>
  <si>
    <t>洪美珠</t>
  </si>
  <si>
    <t>2024/6/9
01:30:00 PM</t>
    <phoneticPr fontId="42" type="noConversion"/>
  </si>
  <si>
    <t>WEI</t>
  </si>
  <si>
    <t>Micrometer</t>
    <phoneticPr fontId="42" type="noConversion"/>
  </si>
  <si>
    <t>°</t>
    <phoneticPr fontId="4" type="noConversion"/>
  </si>
  <si>
    <t>°</t>
    <phoneticPr fontId="4" type="noConversion"/>
  </si>
  <si>
    <t>RADIUS</t>
    <phoneticPr fontId="35" type="noConversion"/>
  </si>
  <si>
    <t>DISTANCE</t>
    <phoneticPr fontId="35" type="noConversion"/>
  </si>
  <si>
    <t>CHAMFER</t>
    <phoneticPr fontId="1" type="noConversion"/>
  </si>
  <si>
    <t>Appearance Inpsection</t>
    <phoneticPr fontId="12" type="noConversion"/>
  </si>
  <si>
    <t>All</t>
    <phoneticPr fontId="12" type="noConversion"/>
  </si>
  <si>
    <t>Pin / Threaded inserts / Other Items Install side</t>
    <phoneticPr fontId="12" type="noConversion"/>
  </si>
  <si>
    <t>Appearance Inspection  Specification</t>
    <phoneticPr fontId="12" type="noConversion"/>
  </si>
  <si>
    <t>◎</t>
    <phoneticPr fontId="12" type="noConversion"/>
  </si>
  <si>
    <t>Visual</t>
    <phoneticPr fontId="12" type="noConversion"/>
  </si>
  <si>
    <t>OK</t>
    <phoneticPr fontId="4" type="noConversion"/>
  </si>
  <si>
    <t>Pin / Threaded inserts / Other Items Install side</t>
    <phoneticPr fontId="1" type="noConversion"/>
  </si>
  <si>
    <t>Visual Inspection</t>
    <phoneticPr fontId="1" type="noConversion"/>
  </si>
  <si>
    <t>CMM</t>
    <phoneticPr fontId="42" type="noConversion"/>
  </si>
  <si>
    <t>Profile Projector</t>
    <phoneticPr fontId="42" type="noConversion"/>
  </si>
  <si>
    <t>A</t>
    <phoneticPr fontId="1" type="noConversion"/>
  </si>
  <si>
    <t>+0.02</t>
    <phoneticPr fontId="1" type="noConversion"/>
  </si>
  <si>
    <t>-0.02</t>
    <phoneticPr fontId="1" type="noConversion"/>
  </si>
  <si>
    <t>+0.05</t>
    <phoneticPr fontId="1" type="noConversion"/>
  </si>
  <si>
    <t>-0.05</t>
    <phoneticPr fontId="1" type="noConversion"/>
  </si>
  <si>
    <t>D2</t>
    <phoneticPr fontId="1" type="noConversion"/>
  </si>
  <si>
    <t>E8</t>
    <phoneticPr fontId="1" type="noConversion"/>
  </si>
  <si>
    <t>R</t>
    <phoneticPr fontId="1" type="noConversion"/>
  </si>
  <si>
    <t>╱╱</t>
    <phoneticPr fontId="1" type="noConversion"/>
  </si>
  <si>
    <r>
      <t>Remark</t>
    </r>
    <r>
      <rPr>
        <sz val="10"/>
        <rFont val="新細明體"/>
        <family val="1"/>
        <charset val="136"/>
      </rPr>
      <t>　備註</t>
    </r>
  </si>
  <si>
    <r>
      <t>Material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    </t>
    </r>
    <r>
      <rPr>
        <sz val="10"/>
        <rFont val="新細明體"/>
        <family val="1"/>
        <charset val="136"/>
      </rPr>
      <t>材料</t>
    </r>
    <phoneticPr fontId="4" type="noConversion"/>
  </si>
  <si>
    <r>
      <t xml:space="preserve">Part Rev No       </t>
    </r>
    <r>
      <rPr>
        <sz val="10"/>
        <rFont val="新細明體"/>
        <family val="1"/>
        <charset val="136"/>
      </rPr>
      <t>版次</t>
    </r>
    <phoneticPr fontId="1" type="noConversion"/>
  </si>
  <si>
    <r>
      <t xml:space="preserve">Sample Size </t>
    </r>
    <r>
      <rPr>
        <sz val="10"/>
        <rFont val="新細明體"/>
        <family val="1"/>
        <charset val="136"/>
      </rPr>
      <t>樣數</t>
    </r>
    <phoneticPr fontId="4" type="noConversion"/>
  </si>
  <si>
    <r>
      <t xml:space="preserve">unit                 </t>
    </r>
    <r>
      <rPr>
        <sz val="10"/>
        <rFont val="細明體"/>
        <family val="3"/>
        <charset val="136"/>
      </rPr>
      <t>單位</t>
    </r>
    <phoneticPr fontId="4" type="noConversion"/>
  </si>
  <si>
    <r>
      <t>Date/Time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      </t>
    </r>
    <r>
      <rPr>
        <sz val="10"/>
        <rFont val="新細明體"/>
        <family val="1"/>
        <charset val="136"/>
      </rPr>
      <t>日期</t>
    </r>
    <r>
      <rPr>
        <sz val="10"/>
        <rFont val="Arial"/>
        <family val="2"/>
      </rPr>
      <t>/</t>
    </r>
    <r>
      <rPr>
        <sz val="10"/>
        <rFont val="新細明體"/>
        <family val="1"/>
        <charset val="136"/>
      </rPr>
      <t>時間</t>
    </r>
    <phoneticPr fontId="4" type="noConversion"/>
  </si>
  <si>
    <r>
      <t>PO #/ WO #</t>
    </r>
    <r>
      <rPr>
        <sz val="10"/>
        <rFont val="新細明體"/>
        <family val="1"/>
        <charset val="136"/>
      </rPr>
      <t>訂單</t>
    </r>
    <r>
      <rPr>
        <sz val="10"/>
        <rFont val="Arial"/>
        <family val="2"/>
      </rPr>
      <t>/</t>
    </r>
    <r>
      <rPr>
        <sz val="10"/>
        <rFont val="新細明體"/>
        <family val="1"/>
        <charset val="136"/>
      </rPr>
      <t>工單</t>
    </r>
    <phoneticPr fontId="4" type="noConversion"/>
  </si>
  <si>
    <r>
      <t>AQL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</t>
    </r>
    <r>
      <rPr>
        <sz val="10"/>
        <rFont val="新細明體"/>
        <family val="1"/>
        <charset val="136"/>
      </rPr>
      <t>允收水準</t>
    </r>
    <phoneticPr fontId="4" type="noConversion"/>
  </si>
  <si>
    <r>
      <t xml:space="preserve">Item #
</t>
    </r>
    <r>
      <rPr>
        <sz val="10"/>
        <rFont val="新細明體"/>
        <family val="1"/>
        <charset val="136"/>
      </rPr>
      <t>編</t>
    </r>
    <r>
      <rPr>
        <sz val="10"/>
        <rFont val="Arial"/>
        <family val="2"/>
      </rPr>
      <t xml:space="preserve">  </t>
    </r>
    <r>
      <rPr>
        <sz val="10"/>
        <rFont val="新細明體"/>
        <family val="1"/>
        <charset val="136"/>
      </rPr>
      <t>號</t>
    </r>
    <phoneticPr fontId="4" type="noConversion"/>
  </si>
  <si>
    <r>
      <t xml:space="preserve">Feature
</t>
    </r>
    <r>
      <rPr>
        <sz val="10"/>
        <rFont val="細明體"/>
        <family val="3"/>
        <charset val="136"/>
      </rPr>
      <t>特徵</t>
    </r>
    <phoneticPr fontId="4" type="noConversion"/>
  </si>
  <si>
    <r>
      <t xml:space="preserve">Specification
</t>
    </r>
    <r>
      <rPr>
        <sz val="10"/>
        <rFont val="新細明體"/>
        <family val="1"/>
        <charset val="136"/>
      </rPr>
      <t>規</t>
    </r>
    <r>
      <rPr>
        <sz val="10"/>
        <rFont val="Arial"/>
        <family val="2"/>
      </rPr>
      <t xml:space="preserve">  </t>
    </r>
    <r>
      <rPr>
        <sz val="10"/>
        <rFont val="新細明體"/>
        <family val="1"/>
        <charset val="136"/>
      </rPr>
      <t>格</t>
    </r>
    <phoneticPr fontId="4" type="noConversion"/>
  </si>
  <si>
    <r>
      <t>Tolerance</t>
    </r>
    <r>
      <rPr>
        <sz val="10"/>
        <rFont val="新細明體"/>
        <family val="1"/>
        <charset val="136"/>
      </rPr>
      <t>公</t>
    </r>
    <r>
      <rPr>
        <sz val="10"/>
        <rFont val="Arial"/>
        <family val="2"/>
      </rPr>
      <t xml:space="preserve">  </t>
    </r>
    <r>
      <rPr>
        <sz val="10"/>
        <rFont val="新細明體"/>
        <family val="1"/>
        <charset val="136"/>
      </rPr>
      <t xml:space="preserve">差
</t>
    </r>
    <r>
      <rPr>
        <sz val="14"/>
        <rFont val="Arial"/>
        <family val="2"/>
      </rPr>
      <t>( + /  - )</t>
    </r>
    <phoneticPr fontId="4" type="noConversion"/>
  </si>
  <si>
    <r>
      <t xml:space="preserve">Measuring Equipment
</t>
    </r>
    <r>
      <rPr>
        <sz val="10"/>
        <rFont val="新細明體"/>
        <family val="1"/>
        <charset val="136"/>
      </rPr>
      <t>量測設備</t>
    </r>
    <phoneticPr fontId="4" type="noConversion"/>
  </si>
  <si>
    <r>
      <t xml:space="preserve">Appearance Inspection
</t>
    </r>
    <r>
      <rPr>
        <sz val="10"/>
        <rFont val="新細明體"/>
        <family val="1"/>
        <charset val="136"/>
      </rPr>
      <t>外觀檢查</t>
    </r>
    <phoneticPr fontId="4" type="noConversion"/>
  </si>
  <si>
    <r>
      <t xml:space="preserve">Appearance 
Inspection  
Specification
</t>
    </r>
    <r>
      <rPr>
        <sz val="10"/>
        <rFont val="新細明體"/>
        <family val="1"/>
        <charset val="136"/>
      </rPr>
      <t>外觀檢查規範</t>
    </r>
    <phoneticPr fontId="4" type="noConversion"/>
  </si>
  <si>
    <r>
      <t xml:space="preserve">Visual Inspection
</t>
    </r>
    <r>
      <rPr>
        <sz val="10"/>
        <rFont val="新細明體"/>
        <family val="1"/>
        <charset val="136"/>
      </rPr>
      <t>目視檢</t>
    </r>
    <phoneticPr fontId="4" type="noConversion"/>
  </si>
  <si>
    <r>
      <t>Verified</t>
    </r>
    <r>
      <rPr>
        <sz val="10"/>
        <rFont val="新細明體"/>
        <family val="1"/>
        <charset val="136"/>
      </rPr>
      <t>　允收判定</t>
    </r>
    <phoneticPr fontId="4" type="noConversion"/>
  </si>
  <si>
    <t xml:space="preserve">立達特科技股份有限公司 LEDARTS TECHNOLOGY CORP. </t>
    <phoneticPr fontId="4" type="noConversion"/>
  </si>
  <si>
    <t>E4</t>
    <phoneticPr fontId="1" type="noConversion"/>
  </si>
  <si>
    <t>C4</t>
    <phoneticPr fontId="1" type="noConversion"/>
  </si>
  <si>
    <t>E3</t>
    <phoneticPr fontId="1" type="noConversion"/>
  </si>
  <si>
    <t>F4</t>
    <phoneticPr fontId="1" type="noConversion"/>
  </si>
  <si>
    <t>2</t>
    <phoneticPr fontId="1" type="noConversion"/>
  </si>
  <si>
    <t>2</t>
    <phoneticPr fontId="1" type="noConversion"/>
  </si>
  <si>
    <t>N9103-FSBE000</t>
    <phoneticPr fontId="1" type="noConversion"/>
  </si>
  <si>
    <t>1-1</t>
    <phoneticPr fontId="1" type="noConversion"/>
  </si>
  <si>
    <t>1-2</t>
    <phoneticPr fontId="1" type="noConversion"/>
  </si>
  <si>
    <t>2-5</t>
  </si>
  <si>
    <t>2-9</t>
  </si>
  <si>
    <t>2-7</t>
  </si>
  <si>
    <t>1-3</t>
    <phoneticPr fontId="1" type="noConversion"/>
  </si>
  <si>
    <t>1-4</t>
    <phoneticPr fontId="1" type="noConversion"/>
  </si>
  <si>
    <t>1-5</t>
    <phoneticPr fontId="1" type="noConversion"/>
  </si>
  <si>
    <t>1-6</t>
    <phoneticPr fontId="1" type="noConversion"/>
  </si>
  <si>
    <t>1-7</t>
    <phoneticPr fontId="1" type="noConversion"/>
  </si>
  <si>
    <t>1-8</t>
    <phoneticPr fontId="1" type="noConversion"/>
  </si>
  <si>
    <t>1-9</t>
    <phoneticPr fontId="1" type="noConversion"/>
  </si>
  <si>
    <t>1-10</t>
    <phoneticPr fontId="1" type="noConversion"/>
  </si>
  <si>
    <t>1-11</t>
    <phoneticPr fontId="1" type="noConversion"/>
  </si>
  <si>
    <t>1-12</t>
    <phoneticPr fontId="1" type="noConversion"/>
  </si>
  <si>
    <t>1-13</t>
    <phoneticPr fontId="1" type="noConversion"/>
  </si>
  <si>
    <t>1-14</t>
    <phoneticPr fontId="1" type="noConversion"/>
  </si>
  <si>
    <t>1-15</t>
    <phoneticPr fontId="1" type="noConversion"/>
  </si>
  <si>
    <t>1-16</t>
    <phoneticPr fontId="1" type="noConversion"/>
  </si>
  <si>
    <t>1-17</t>
    <phoneticPr fontId="1" type="noConversion"/>
  </si>
  <si>
    <t>2-17</t>
  </si>
  <si>
    <t>1-18</t>
    <phoneticPr fontId="1" type="noConversion"/>
  </si>
  <si>
    <t>1-19</t>
    <phoneticPr fontId="1" type="noConversion"/>
  </si>
  <si>
    <t>1-20</t>
    <phoneticPr fontId="1" type="noConversion"/>
  </si>
  <si>
    <t>1-21</t>
    <phoneticPr fontId="1" type="noConversion"/>
  </si>
  <si>
    <t>1-22</t>
    <phoneticPr fontId="1" type="noConversion"/>
  </si>
  <si>
    <t>1-23</t>
    <phoneticPr fontId="1" type="noConversion"/>
  </si>
  <si>
    <t>1-24</t>
    <phoneticPr fontId="1" type="noConversion"/>
  </si>
  <si>
    <t>1-25</t>
    <phoneticPr fontId="1" type="noConversion"/>
  </si>
  <si>
    <t>D4</t>
    <phoneticPr fontId="1" type="noConversion"/>
  </si>
  <si>
    <t>F4</t>
    <phoneticPr fontId="1" type="noConversion"/>
  </si>
  <si>
    <t>ψ</t>
    <phoneticPr fontId="4" type="noConversion"/>
  </si>
  <si>
    <t>6 X 0.3</t>
    <phoneticPr fontId="1" type="noConversion"/>
  </si>
  <si>
    <t>+0.05</t>
  </si>
  <si>
    <t>+0.05</t>
    <phoneticPr fontId="1" type="noConversion"/>
  </si>
  <si>
    <t>-0.05</t>
  </si>
  <si>
    <t>+0.01</t>
    <phoneticPr fontId="1" type="noConversion"/>
  </si>
  <si>
    <t>-0.02</t>
    <phoneticPr fontId="1" type="noConversion"/>
  </si>
  <si>
    <t>D7</t>
    <phoneticPr fontId="1" type="noConversion"/>
  </si>
  <si>
    <t>0</t>
    <phoneticPr fontId="1" type="noConversion"/>
  </si>
  <si>
    <t>-0.04</t>
    <phoneticPr fontId="1" type="noConversion"/>
  </si>
  <si>
    <t>D8</t>
    <phoneticPr fontId="1" type="noConversion"/>
  </si>
  <si>
    <t>4 X 1</t>
    <phoneticPr fontId="1" type="noConversion"/>
  </si>
  <si>
    <t>C6</t>
    <phoneticPr fontId="1" type="noConversion"/>
  </si>
  <si>
    <t>Height Gauge</t>
    <phoneticPr fontId="42" type="noConversion"/>
  </si>
  <si>
    <t>B6</t>
    <phoneticPr fontId="1" type="noConversion"/>
  </si>
  <si>
    <t>A6</t>
    <phoneticPr fontId="1" type="noConversion"/>
  </si>
  <si>
    <t>6 X 2.7</t>
    <phoneticPr fontId="1" type="noConversion"/>
  </si>
  <si>
    <t>+0.02</t>
    <phoneticPr fontId="1" type="noConversion"/>
  </si>
  <si>
    <t>-0.02</t>
    <phoneticPr fontId="1" type="noConversion"/>
  </si>
  <si>
    <t>A6</t>
    <phoneticPr fontId="1" type="noConversion"/>
  </si>
  <si>
    <t>⁄⁄</t>
    <phoneticPr fontId="1" type="noConversion"/>
  </si>
  <si>
    <t>╱╱</t>
    <phoneticPr fontId="1" type="noConversion"/>
  </si>
  <si>
    <t>A6</t>
    <phoneticPr fontId="1" type="noConversion"/>
  </si>
  <si>
    <t>A7</t>
    <phoneticPr fontId="1" type="noConversion"/>
  </si>
  <si>
    <t>-0.01</t>
    <phoneticPr fontId="1" type="noConversion"/>
  </si>
  <si>
    <t>□</t>
    <phoneticPr fontId="1" type="noConversion"/>
  </si>
  <si>
    <t>Ra</t>
    <phoneticPr fontId="1" type="noConversion"/>
  </si>
  <si>
    <t>A8</t>
    <phoneticPr fontId="1" type="noConversion"/>
  </si>
  <si>
    <t>White Light Interferometry</t>
    <phoneticPr fontId="1" type="noConversion"/>
  </si>
  <si>
    <t>4 x 0.05</t>
    <phoneticPr fontId="1" type="noConversion"/>
  </si>
  <si>
    <t>R</t>
    <phoneticPr fontId="1" type="noConversion"/>
  </si>
  <si>
    <t>D4</t>
    <phoneticPr fontId="1" type="noConversion"/>
  </si>
  <si>
    <t>6 X 0.02</t>
    <phoneticPr fontId="1" type="noConversion"/>
  </si>
  <si>
    <t>+0.01</t>
    <phoneticPr fontId="1" type="noConversion"/>
  </si>
  <si>
    <t>-0.01</t>
    <phoneticPr fontId="1" type="noConversion"/>
  </si>
  <si>
    <t>Hight Guage</t>
    <phoneticPr fontId="42" type="noConversion"/>
  </si>
  <si>
    <t>Hight Guage</t>
    <phoneticPr fontId="42" type="noConversion"/>
  </si>
  <si>
    <t>6 X 2</t>
    <phoneticPr fontId="1" type="noConversion"/>
  </si>
  <si>
    <t>E2</t>
    <phoneticPr fontId="1" type="noConversion"/>
  </si>
  <si>
    <t>D2</t>
    <phoneticPr fontId="1" type="noConversion"/>
  </si>
  <si>
    <t>6 X 0.5</t>
    <phoneticPr fontId="1" type="noConversion"/>
  </si>
  <si>
    <t>ψ</t>
    <phoneticPr fontId="1" type="noConversion"/>
  </si>
  <si>
    <t>D5</t>
    <phoneticPr fontId="1" type="noConversion"/>
  </si>
  <si>
    <t>C5</t>
    <phoneticPr fontId="1" type="noConversion"/>
  </si>
  <si>
    <t>ψ</t>
    <phoneticPr fontId="1" type="noConversion"/>
  </si>
  <si>
    <t>ψ</t>
    <phoneticPr fontId="1" type="noConversion"/>
  </si>
  <si>
    <t>6 X 1</t>
    <phoneticPr fontId="1" type="noConversion"/>
  </si>
  <si>
    <t>4 X 1</t>
    <phoneticPr fontId="1" type="noConversion"/>
  </si>
  <si>
    <t>C2</t>
    <phoneticPr fontId="1" type="noConversion"/>
  </si>
  <si>
    <t>R</t>
    <phoneticPr fontId="1" type="noConversion"/>
  </si>
  <si>
    <t>4 X 0.05</t>
    <phoneticPr fontId="1" type="noConversion"/>
  </si>
  <si>
    <t>C2</t>
    <phoneticPr fontId="1" type="noConversion"/>
  </si>
  <si>
    <t>B4</t>
    <phoneticPr fontId="1" type="noConversion"/>
  </si>
  <si>
    <t>B4</t>
    <phoneticPr fontId="1" type="noConversion"/>
  </si>
  <si>
    <t>F4</t>
    <phoneticPr fontId="1" type="noConversion"/>
  </si>
  <si>
    <r>
      <rPr>
        <sz val="12"/>
        <rFont val="細明體"/>
        <family val="3"/>
        <charset val="136"/>
      </rPr>
      <t>⊕</t>
    </r>
    <phoneticPr fontId="1" type="noConversion"/>
  </si>
  <si>
    <t>D5</t>
    <phoneticPr fontId="1" type="noConversion"/>
  </si>
  <si>
    <t>C2</t>
    <phoneticPr fontId="1" type="noConversion"/>
  </si>
  <si>
    <t>2-1</t>
    <phoneticPr fontId="1" type="noConversion"/>
  </si>
  <si>
    <t>2-2</t>
    <phoneticPr fontId="1" type="noConversion"/>
  </si>
  <si>
    <t>2-3</t>
  </si>
  <si>
    <t>2-4</t>
  </si>
  <si>
    <t>2-6</t>
  </si>
  <si>
    <t>2-8</t>
  </si>
  <si>
    <t>2-10</t>
  </si>
  <si>
    <t>2-11</t>
  </si>
  <si>
    <t>2-12</t>
  </si>
  <si>
    <t>2-13</t>
  </si>
  <si>
    <t>2-14</t>
  </si>
  <si>
    <t>2-15</t>
  </si>
  <si>
    <t>2-16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</si>
  <si>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</si>
  <si>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</si>
  <si>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</si>
  <si>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</si>
  <si>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</si>
  <si>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</si>
  <si>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</si>
  <si>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</si>
  <si>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</si>
  <si>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</si>
  <si>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</si>
  <si>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</si>
  <si>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2-30</t>
  </si>
  <si>
    <t>2-31</t>
    <phoneticPr fontId="1" type="noConversion"/>
  </si>
  <si>
    <t>4 X 0.5</t>
    <phoneticPr fontId="1" type="noConversion"/>
  </si>
  <si>
    <t>-0.01</t>
    <phoneticPr fontId="1" type="noConversion"/>
  </si>
  <si>
    <t>+0.05</t>
    <phoneticPr fontId="1" type="noConversion"/>
  </si>
  <si>
    <t>4 X 1</t>
    <phoneticPr fontId="1" type="noConversion"/>
  </si>
  <si>
    <t>E7</t>
    <phoneticPr fontId="1" type="noConversion"/>
  </si>
  <si>
    <t>E1</t>
    <phoneticPr fontId="1" type="noConversion"/>
  </si>
  <si>
    <t>0</t>
    <phoneticPr fontId="1" type="noConversion"/>
  </si>
  <si>
    <t>-0.04</t>
    <phoneticPr fontId="1" type="noConversion"/>
  </si>
  <si>
    <t>R</t>
    <phoneticPr fontId="1" type="noConversion"/>
  </si>
  <si>
    <t>D4</t>
    <phoneticPr fontId="1" type="noConversion"/>
  </si>
  <si>
    <t>4 X 1</t>
    <phoneticPr fontId="1" type="noConversion"/>
  </si>
  <si>
    <t>D1</t>
    <phoneticPr fontId="1" type="noConversion"/>
  </si>
  <si>
    <t>D5</t>
    <phoneticPr fontId="1" type="noConversion"/>
  </si>
  <si>
    <t>0</t>
    <phoneticPr fontId="1" type="noConversion"/>
  </si>
  <si>
    <t>-0.04</t>
    <phoneticPr fontId="1" type="noConversion"/>
  </si>
  <si>
    <t>C4</t>
    <phoneticPr fontId="1" type="noConversion"/>
  </si>
  <si>
    <t>2 X 1.5</t>
    <phoneticPr fontId="1" type="noConversion"/>
  </si>
  <si>
    <t>+0.02</t>
    <phoneticPr fontId="1" type="noConversion"/>
  </si>
  <si>
    <t>E8</t>
    <phoneticPr fontId="1" type="noConversion"/>
  </si>
  <si>
    <r>
      <rPr>
        <sz val="12"/>
        <rFont val="細明體"/>
        <family val="3"/>
        <charset val="136"/>
      </rPr>
      <t>⊕</t>
    </r>
    <phoneticPr fontId="1" type="noConversion"/>
  </si>
  <si>
    <r>
      <rPr>
        <sz val="12"/>
        <rFont val="細明體"/>
        <family val="3"/>
        <charset val="136"/>
      </rPr>
      <t>⊕</t>
    </r>
    <phoneticPr fontId="1" type="noConversion"/>
  </si>
  <si>
    <t>D8</t>
    <phoneticPr fontId="1" type="noConversion"/>
  </si>
  <si>
    <t>2 X 2</t>
    <phoneticPr fontId="1" type="noConversion"/>
  </si>
  <si>
    <t>+0.02</t>
    <phoneticPr fontId="1" type="noConversion"/>
  </si>
  <si>
    <t>D8</t>
    <phoneticPr fontId="1" type="noConversion"/>
  </si>
  <si>
    <t>0</t>
    <phoneticPr fontId="1" type="noConversion"/>
  </si>
  <si>
    <t>-0.01</t>
    <phoneticPr fontId="1" type="noConversion"/>
  </si>
  <si>
    <t>B8</t>
    <phoneticPr fontId="1" type="noConversion"/>
  </si>
  <si>
    <t>2 X 1.5</t>
    <phoneticPr fontId="1" type="noConversion"/>
  </si>
  <si>
    <t>ψ</t>
    <phoneticPr fontId="1" type="noConversion"/>
  </si>
  <si>
    <t>+0.02</t>
    <phoneticPr fontId="1" type="noConversion"/>
  </si>
  <si>
    <t>B7</t>
    <phoneticPr fontId="1" type="noConversion"/>
  </si>
  <si>
    <r>
      <rPr>
        <sz val="12"/>
        <rFont val="細明體"/>
        <family val="3"/>
        <charset val="136"/>
      </rPr>
      <t>↓</t>
    </r>
    <phoneticPr fontId="1" type="noConversion"/>
  </si>
  <si>
    <t>A6</t>
    <phoneticPr fontId="1" type="noConversion"/>
  </si>
  <si>
    <t>A6</t>
    <phoneticPr fontId="1" type="noConversion"/>
  </si>
  <si>
    <t>-0.02</t>
    <phoneticPr fontId="1" type="noConversion"/>
  </si>
  <si>
    <t>-0.01</t>
    <phoneticPr fontId="1" type="noConversion"/>
  </si>
  <si>
    <t>D2</t>
    <phoneticPr fontId="1" type="noConversion"/>
  </si>
  <si>
    <t>CMM</t>
    <phoneticPr fontId="1" type="noConversion"/>
  </si>
  <si>
    <t>CMM</t>
    <phoneticPr fontId="1" type="noConversion"/>
  </si>
  <si>
    <t>D1</t>
    <phoneticPr fontId="1" type="noConversion"/>
  </si>
  <si>
    <t>-0.04</t>
    <phoneticPr fontId="1" type="noConversion"/>
  </si>
  <si>
    <t>C2</t>
    <phoneticPr fontId="1" type="noConversion"/>
  </si>
  <si>
    <t>C1</t>
    <phoneticPr fontId="1" type="noConversion"/>
  </si>
  <si>
    <t>C3</t>
    <phoneticPr fontId="1" type="noConversion"/>
  </si>
  <si>
    <t>4 X 0.3</t>
    <phoneticPr fontId="1" type="noConversion"/>
  </si>
  <si>
    <t>B3</t>
    <phoneticPr fontId="1" type="noConversion"/>
  </si>
  <si>
    <t>4 X 60°</t>
    <phoneticPr fontId="1" type="noConversion"/>
  </si>
  <si>
    <t>45°</t>
    <phoneticPr fontId="1" type="noConversion"/>
  </si>
  <si>
    <t>B2</t>
    <phoneticPr fontId="1" type="noConversion"/>
  </si>
  <si>
    <t>B3</t>
    <phoneticPr fontId="1" type="noConversion"/>
  </si>
  <si>
    <t>2 X 1.7</t>
    <phoneticPr fontId="1" type="noConversion"/>
  </si>
  <si>
    <t>-0.02</t>
    <phoneticPr fontId="1" type="noConversion"/>
  </si>
  <si>
    <t>E6</t>
    <phoneticPr fontId="1" type="noConversion"/>
  </si>
  <si>
    <t>D6</t>
    <phoneticPr fontId="1" type="noConversion"/>
  </si>
  <si>
    <t>Caliper</t>
  </si>
  <si>
    <t>Caliper</t>
    <phoneticPr fontId="42" type="noConversion"/>
  </si>
  <si>
    <t>0</t>
    <phoneticPr fontId="1" type="noConversion"/>
  </si>
  <si>
    <t>Profile Projector</t>
    <phoneticPr fontId="42" type="noConversion"/>
  </si>
  <si>
    <t>0</t>
    <phoneticPr fontId="1" type="noConversion"/>
  </si>
  <si>
    <t>+0.5°</t>
    <phoneticPr fontId="1" type="noConversion"/>
  </si>
  <si>
    <t>-0.5°</t>
    <phoneticPr fontId="1" type="noConversion"/>
  </si>
  <si>
    <t xml:space="preserve">SSiC + SST420 </t>
    <phoneticPr fontId="1" type="noConversion"/>
  </si>
  <si>
    <t>洪惠綉</t>
    <phoneticPr fontId="1" type="noConversion"/>
  </si>
  <si>
    <t>王彥鈞</t>
    <phoneticPr fontId="1" type="noConversion"/>
  </si>
  <si>
    <t>MO11-260601001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</si>
</sst>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76" formatCode="yyyy/m/d\ h:mm"/>
    <numFmt numFmtId="177" formatCode="0.00_);[Red]\(0.00\)"/>
    <numFmt numFmtId="178" formatCode="#,##0.0,_);[Red]\(#,##0.0\)"/>
    <numFmt numFmtId="179" formatCode="0.000000_);\(0.000000\)"/>
    <numFmt numFmtId="180" formatCode="0.00_)"/>
    <numFmt numFmtId="181" formatCode="0.0%"/>
    <numFmt numFmtId="182" formatCode="&quot;$&quot;#,##0.00"/>
    <numFmt numFmtId="183" formatCode="0%;[Red]\(0%\);&quot;- &quot;"/>
    <numFmt numFmtId="184" formatCode="#,##0;[Red]\(#,##0\);&quot;- &quot;"/>
    <numFmt numFmtId="185" formatCode="0%_);[Red]\(0%\)"/>
    <numFmt numFmtId="186" formatCode="0.000000000000"/>
    <numFmt numFmtId="187" formatCode="#,##0,\ ;[Red]\(#,##0,\);&quot;&quot;"/>
    <numFmt numFmtId="188" formatCode="\ \ \ \ \ \ \ \ \ \ \ \ @"/>
    <numFmt numFmtId="189" formatCode="#,##0,_);[Red]\(#,##0,\);&quot;-  &quot;"/>
    <numFmt numFmtId="190" formatCode="0.00_ "/>
    <numFmt numFmtId="191" formatCode="0.000"/>
    <numFmt numFmtId="192" formatCode="0.0"/>
    <numFmt numFmtId="193" formatCode="0.000_);[Red]\(0.000\)"/>
    <numFmt numFmtId="194" formatCode="#,##0.0000_);[Red]\(#,##0.0000\)"/>
    <numFmt numFmtId="195" formatCode="0.0_);[Red]\(0.0\)"/>
  </numFmts>
  <fonts count="90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新細明體"/>
      <family val="1"/>
      <charset val="136"/>
    </font>
    <font>
      <b/>
      <sz val="22"/>
      <name val="標楷體"/>
      <family val="4"/>
      <charset val="136"/>
    </font>
    <font>
      <sz val="9"/>
      <name val="新細明體"/>
      <family val="1"/>
      <charset val="136"/>
    </font>
    <font>
      <sz val="10"/>
      <name val="新細明體"/>
      <family val="1"/>
      <charset val="136"/>
    </font>
    <font>
      <sz val="10"/>
      <name val="Times New Roman"/>
      <family val="1"/>
    </font>
    <font>
      <b/>
      <sz val="18"/>
      <name val="標楷體"/>
      <family val="4"/>
      <charset val="136"/>
    </font>
    <font>
      <sz val="10"/>
      <name val="Arial"/>
      <family val="2"/>
    </font>
    <font>
      <i/>
      <sz val="11"/>
      <name val="明朝"/>
      <family val="3"/>
      <charset val="255"/>
    </font>
    <font>
      <sz val="10"/>
      <name val="細明體"/>
      <family val="3"/>
      <charset val="136"/>
    </font>
    <font>
      <sz val="14"/>
      <name val="Arial"/>
      <family val="2"/>
    </font>
    <font>
      <sz val="8"/>
      <name val="Arial"/>
      <family val="2"/>
    </font>
    <font>
      <sz val="8"/>
      <name val="新細明體"/>
      <family val="1"/>
      <charset val="136"/>
    </font>
    <font>
      <sz val="12"/>
      <name val="Times New Roman"/>
      <family val="1"/>
    </font>
    <font>
      <b/>
      <sz val="10"/>
      <name val="新細明體"/>
      <family val="1"/>
      <charset val="136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name val="Times New Roman"/>
      <family val="1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b/>
      <sz val="11"/>
      <color indexed="9"/>
      <name val="Calibri"/>
      <family val="2"/>
    </font>
    <font>
      <sz val="10"/>
      <name val="MS Serif"/>
      <family val="1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i/>
      <sz val="16"/>
      <name val="Helv"/>
      <family val="2"/>
    </font>
    <font>
      <sz val="12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細明體"/>
      <family val="3"/>
      <charset val="136"/>
    </font>
    <font>
      <sz val="12"/>
      <name val="新細明體"/>
      <family val="1"/>
      <charset val="136"/>
      <scheme val="minor"/>
    </font>
    <font>
      <sz val="9"/>
      <name val="細明體"/>
      <family val="3"/>
      <charset val="136"/>
    </font>
    <font>
      <b/>
      <sz val="12"/>
      <color theme="1"/>
      <name val="細明體"/>
      <family val="3"/>
      <charset val="136"/>
    </font>
    <font>
      <sz val="12"/>
      <color theme="1"/>
      <name val="細明體"/>
      <family val="3"/>
      <charset val="136"/>
    </font>
    <font>
      <b/>
      <sz val="9"/>
      <color indexed="81"/>
      <name val="新細明體"/>
      <family val="1"/>
      <charset val="136"/>
    </font>
    <font>
      <b/>
      <sz val="9"/>
      <color indexed="81"/>
      <name val="Times New Roman"/>
      <family val="1"/>
    </font>
    <font>
      <sz val="9"/>
      <color indexed="81"/>
      <name val="新細明體"/>
      <family val="1"/>
      <charset val="136"/>
    </font>
    <font>
      <i/>
      <sz val="12"/>
      <name val="新細明體"/>
      <family val="1"/>
      <charset val="136"/>
    </font>
    <font>
      <b/>
      <sz val="10"/>
      <name val="Arial"/>
      <family val="2"/>
    </font>
    <font>
      <sz val="11"/>
      <name val="細明體"/>
      <family val="3"/>
      <charset val="136"/>
    </font>
    <font>
      <sz val="14"/>
      <name val="新細明體"/>
      <family val="1"/>
      <charset val="136"/>
    </font>
    <font>
      <sz val="12"/>
      <name val="MS Mincho"/>
      <family val="3"/>
    </font>
    <font>
      <sz val="10"/>
      <color indexed="10"/>
      <name val="細明體"/>
      <family val="3"/>
      <charset val="136"/>
    </font>
    <font>
      <sz val="12"/>
      <color indexed="8"/>
      <name val="Times New Roman"/>
      <family val="1"/>
    </font>
    <font>
      <sz val="12"/>
      <color indexed="8"/>
      <name val="新細明體"/>
      <family val="1"/>
      <charset val="136"/>
    </font>
    <font>
      <sz val="14"/>
      <name val="明朝"/>
      <family val="1"/>
      <charset val="255"/>
    </font>
    <font>
      <b/>
      <sz val="10"/>
      <color indexed="81"/>
      <name val="新細明體"/>
      <family val="1"/>
      <charset val="136"/>
    </font>
    <font>
      <sz val="12"/>
      <name val="宋体"/>
      <family val="3"/>
      <charset val="136"/>
    </font>
    <font>
      <sz val="11"/>
      <color indexed="8"/>
      <name val="宋体"/>
      <charset val="136"/>
    </font>
    <font>
      <sz val="12"/>
      <color indexed="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1"/>
      <color indexed="81"/>
      <name val="Tahoma"/>
      <family val="2"/>
    </font>
    <font>
      <u/>
      <sz val="12"/>
      <color indexed="12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b/>
      <sz val="12"/>
      <color indexed="10"/>
      <name val="Times New Roman"/>
      <family val="1"/>
    </font>
    <font>
      <sz val="12"/>
      <color rgb="FF0070C0"/>
      <name val="Arial"/>
      <family val="2"/>
    </font>
    <font>
      <sz val="10"/>
      <name val="標楷體"/>
      <family val="4"/>
      <charset val="136"/>
    </font>
    <font>
      <b/>
      <sz val="14"/>
      <name val="新細明體"/>
      <family val="1"/>
      <charset val="136"/>
    </font>
    <font>
      <sz val="14"/>
      <name val="明朝"/>
      <family val="3"/>
      <charset val="255"/>
    </font>
    <font>
      <sz val="13"/>
      <name val="Times New Roman"/>
      <family val="1"/>
    </font>
    <font>
      <b/>
      <sz val="13"/>
      <color indexed="56"/>
      <name val="Arial"/>
      <family val="2"/>
    </font>
    <font>
      <sz val="13"/>
      <color indexed="56"/>
      <name val="細明體"/>
      <family val="3"/>
      <charset val="136"/>
    </font>
    <font>
      <sz val="13"/>
      <color indexed="56"/>
      <name val="Arial"/>
      <family val="2"/>
    </font>
    <font>
      <b/>
      <sz val="13"/>
      <color indexed="56"/>
      <name val="細明體"/>
      <family val="3"/>
      <charset val="136"/>
    </font>
    <font>
      <sz val="13"/>
      <color indexed="8"/>
      <name val="Times New Roman"/>
      <family val="1"/>
    </font>
    <font>
      <sz val="13"/>
      <name val="細明體"/>
      <family val="3"/>
      <charset val="136"/>
    </font>
    <font>
      <sz val="12"/>
      <name val="Arial Narrow"/>
      <family val="2"/>
    </font>
    <font>
      <b/>
      <sz val="16"/>
      <color rgb="FFFF0000"/>
      <name val="細明體"/>
      <family val="3"/>
      <charset val="136"/>
    </font>
    <font>
      <sz val="11"/>
      <name val="新細明體"/>
      <family val="1"/>
      <charset val="136"/>
    </font>
    <font>
      <sz val="10"/>
      <color indexed="12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52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8" fillId="0" borderId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5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6" borderId="0" applyNumberFormat="0" applyBorder="0" applyAlignment="0" applyProtection="0"/>
    <xf numFmtId="0" fontId="16" fillId="9" borderId="0" applyNumberFormat="0" applyBorder="0" applyAlignment="0" applyProtection="0"/>
    <xf numFmtId="0" fontId="16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20" borderId="0" applyNumberFormat="0" applyBorder="0" applyAlignment="0" applyProtection="0"/>
    <xf numFmtId="178" fontId="8" fillId="21" borderId="46">
      <alignment horizontal="center" vertical="center"/>
    </xf>
    <xf numFmtId="0" fontId="18" fillId="0" borderId="0">
      <alignment horizontal="center" wrapText="1"/>
      <protection locked="0"/>
    </xf>
    <xf numFmtId="0" fontId="19" fillId="4" borderId="0" applyNumberFormat="0" applyBorder="0" applyAlignment="0" applyProtection="0"/>
    <xf numFmtId="179" fontId="8" fillId="0" borderId="0" applyFill="0" applyBorder="0" applyAlignment="0"/>
    <xf numFmtId="180" fontId="8" fillId="0" borderId="0" applyFill="0" applyBorder="0" applyAlignment="0"/>
    <xf numFmtId="181" fontId="8" fillId="0" borderId="0" applyFill="0" applyBorder="0" applyAlignment="0"/>
    <xf numFmtId="182" fontId="8" fillId="0" borderId="0" applyFill="0" applyBorder="0" applyAlignment="0"/>
    <xf numFmtId="183" fontId="8" fillId="0" borderId="0" applyFill="0" applyBorder="0" applyAlignment="0"/>
    <xf numFmtId="184" fontId="8" fillId="0" borderId="0" applyFill="0" applyBorder="0" applyAlignment="0"/>
    <xf numFmtId="185" fontId="8" fillId="0" borderId="0" applyFill="0" applyBorder="0" applyAlignment="0"/>
    <xf numFmtId="180" fontId="8" fillId="0" borderId="0" applyFill="0" applyBorder="0" applyAlignment="0"/>
    <xf numFmtId="0" fontId="20" fillId="22" borderId="47" applyNumberFormat="0" applyAlignment="0" applyProtection="0"/>
    <xf numFmtId="0" fontId="21" fillId="0" borderId="0"/>
    <xf numFmtId="0" fontId="22" fillId="23" borderId="48" applyNumberFormat="0" applyAlignment="0" applyProtection="0"/>
    <xf numFmtId="184" fontId="8" fillId="0" borderId="0" applyFont="0" applyFill="0" applyBorder="0" applyAlignment="0" applyProtection="0"/>
    <xf numFmtId="186" fontId="8" fillId="0" borderId="0"/>
    <xf numFmtId="0" fontId="23" fillId="0" borderId="0" applyNumberFormat="0" applyAlignment="0">
      <alignment horizontal="left"/>
    </xf>
    <xf numFmtId="180" fontId="8" fillId="0" borderId="0" applyFont="0" applyFill="0" applyBorder="0" applyAlignment="0" applyProtection="0"/>
    <xf numFmtId="17" fontId="8" fillId="0" borderId="0" applyFont="0" applyFill="0" applyBorder="0" applyAlignment="0" applyProtection="0"/>
    <xf numFmtId="14" fontId="24" fillId="0" borderId="0" applyFill="0" applyBorder="0" applyAlignment="0"/>
    <xf numFmtId="187" fontId="8" fillId="0" borderId="49">
      <alignment vertical="center"/>
    </xf>
    <xf numFmtId="179" fontId="8" fillId="0" borderId="0" applyFill="0" applyBorder="0" applyAlignment="0"/>
    <xf numFmtId="180" fontId="8" fillId="0" borderId="0" applyFill="0" applyBorder="0" applyAlignment="0"/>
    <xf numFmtId="184" fontId="8" fillId="0" borderId="0" applyFill="0" applyBorder="0" applyAlignment="0"/>
    <xf numFmtId="185" fontId="8" fillId="0" borderId="0" applyFill="0" applyBorder="0" applyAlignment="0"/>
    <xf numFmtId="180" fontId="8" fillId="0" borderId="0" applyFill="0" applyBorder="0" applyAlignment="0"/>
    <xf numFmtId="0" fontId="25" fillId="0" borderId="0" applyNumberFormat="0" applyFill="0" applyBorder="0" applyAlignment="0" applyProtection="0"/>
    <xf numFmtId="0" fontId="26" fillId="5" borderId="0" applyNumberFormat="0" applyBorder="0" applyAlignment="0" applyProtection="0"/>
    <xf numFmtId="38" fontId="12" fillId="24" borderId="0" applyNumberFormat="0" applyBorder="0" applyAlignment="0" applyProtection="0"/>
    <xf numFmtId="0" fontId="27" fillId="0" borderId="10" applyNumberFormat="0" applyAlignment="0" applyProtection="0">
      <alignment horizontal="left" vertical="center"/>
    </xf>
    <xf numFmtId="0" fontId="27" fillId="0" borderId="3">
      <alignment horizontal="left" vertical="center"/>
    </xf>
    <xf numFmtId="0" fontId="28" fillId="0" borderId="50" applyNumberFormat="0" applyFill="0" applyAlignment="0" applyProtection="0"/>
    <xf numFmtId="0" fontId="29" fillId="0" borderId="51" applyNumberFormat="0" applyFill="0" applyAlignment="0" applyProtection="0"/>
    <xf numFmtId="0" fontId="30" fillId="0" borderId="52" applyNumberFormat="0" applyFill="0" applyAlignment="0" applyProtection="0"/>
    <xf numFmtId="0" fontId="30" fillId="0" borderId="0" applyNumberFormat="0" applyFill="0" applyBorder="0" applyAlignment="0" applyProtection="0"/>
    <xf numFmtId="0" fontId="31" fillId="8" borderId="47" applyNumberFormat="0" applyAlignment="0" applyProtection="0"/>
    <xf numFmtId="10" fontId="12" fillId="25" borderId="1" applyNumberFormat="0" applyBorder="0" applyAlignment="0" applyProtection="0"/>
    <xf numFmtId="179" fontId="8" fillId="0" borderId="0" applyFill="0" applyBorder="0" applyAlignment="0"/>
    <xf numFmtId="180" fontId="8" fillId="0" borderId="0" applyFill="0" applyBorder="0" applyAlignment="0"/>
    <xf numFmtId="184" fontId="8" fillId="0" borderId="0" applyFill="0" applyBorder="0" applyAlignment="0"/>
    <xf numFmtId="185" fontId="8" fillId="0" borderId="0" applyFill="0" applyBorder="0" applyAlignment="0"/>
    <xf numFmtId="180" fontId="8" fillId="0" borderId="0" applyFill="0" applyBorder="0" applyAlignment="0"/>
    <xf numFmtId="0" fontId="32" fillId="0" borderId="53" applyNumberFormat="0" applyFill="0" applyAlignment="0" applyProtection="0"/>
    <xf numFmtId="0" fontId="33" fillId="26" borderId="0" applyNumberFormat="0" applyBorder="0" applyAlignment="0" applyProtection="0"/>
    <xf numFmtId="180" fontId="34" fillId="0" borderId="0"/>
    <xf numFmtId="0" fontId="35" fillId="0" borderId="0"/>
    <xf numFmtId="0" fontId="8" fillId="27" borderId="54" applyNumberFormat="0" applyFont="0" applyAlignment="0" applyProtection="0"/>
    <xf numFmtId="0" fontId="36" fillId="22" borderId="55" applyNumberFormat="0" applyAlignment="0" applyProtection="0"/>
    <xf numFmtId="183" fontId="8" fillId="0" borderId="0" applyFont="0" applyFill="0" applyBorder="0" applyAlignment="0" applyProtection="0"/>
    <xf numFmtId="188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79" fontId="8" fillId="0" borderId="0" applyFill="0" applyBorder="0" applyAlignment="0"/>
    <xf numFmtId="180" fontId="8" fillId="0" borderId="0" applyFill="0" applyBorder="0" applyAlignment="0"/>
    <xf numFmtId="184" fontId="8" fillId="0" borderId="0" applyFill="0" applyBorder="0" applyAlignment="0"/>
    <xf numFmtId="185" fontId="8" fillId="0" borderId="0" applyFill="0" applyBorder="0" applyAlignment="0"/>
    <xf numFmtId="180" fontId="8" fillId="0" borderId="0" applyFill="0" applyBorder="0" applyAlignment="0"/>
    <xf numFmtId="0" fontId="8" fillId="0" borderId="0"/>
    <xf numFmtId="49" fontId="24" fillId="0" borderId="0" applyFill="0" applyBorder="0" applyAlignment="0"/>
    <xf numFmtId="179" fontId="8" fillId="0" borderId="0" applyFill="0" applyBorder="0" applyAlignment="0"/>
    <xf numFmtId="189" fontId="8" fillId="0" borderId="0" applyFill="0" applyBorder="0" applyAlignment="0"/>
    <xf numFmtId="0" fontId="37" fillId="0" borderId="0" applyNumberFormat="0" applyFill="0" applyBorder="0" applyAlignment="0" applyProtection="0"/>
    <xf numFmtId="0" fontId="38" fillId="0" borderId="56" applyNumberFormat="0" applyFill="0" applyAlignment="0" applyProtection="0"/>
    <xf numFmtId="0" fontId="39" fillId="0" borderId="0" applyNumberFormat="0" applyFill="0" applyBorder="0" applyAlignment="0" applyProtection="0"/>
    <xf numFmtId="0" fontId="35" fillId="0" borderId="0"/>
    <xf numFmtId="0" fontId="9" fillId="0" borderId="0" applyNumberFormat="0" applyFill="0" applyBorder="0" applyAlignment="0" applyProtection="0"/>
    <xf numFmtId="0" fontId="2" fillId="0" borderId="0">
      <alignment vertical="center"/>
    </xf>
    <xf numFmtId="0" fontId="58" fillId="0" borderId="0"/>
    <xf numFmtId="0" fontId="9" fillId="0" borderId="0" applyNumberFormat="0" applyFill="0" applyBorder="0" applyAlignment="0" applyProtection="0"/>
    <xf numFmtId="0" fontId="59" fillId="6" borderId="0" applyNumberFormat="0" applyBorder="0" applyAlignment="0" applyProtection="0">
      <alignment vertical="center"/>
    </xf>
    <xf numFmtId="0" fontId="55" fillId="3" borderId="0" applyNumberFormat="0" applyBorder="0" applyAlignment="0" applyProtection="0">
      <alignment vertical="center"/>
    </xf>
    <xf numFmtId="0" fontId="55" fillId="4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6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6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13" borderId="0" applyNumberFormat="0" applyBorder="0" applyAlignment="0" applyProtection="0">
      <alignment vertical="center"/>
    </xf>
    <xf numFmtId="0" fontId="60" fillId="10" borderId="0" applyNumberFormat="0" applyBorder="0" applyAlignment="0" applyProtection="0">
      <alignment vertical="center"/>
    </xf>
    <xf numFmtId="0" fontId="60" fillId="11" borderId="0" applyNumberFormat="0" applyBorder="0" applyAlignment="0" applyProtection="0">
      <alignment vertical="center"/>
    </xf>
    <xf numFmtId="0" fontId="60" fillId="14" borderId="0" applyNumberFormat="0" applyBorder="0" applyAlignment="0" applyProtection="0">
      <alignment vertical="center"/>
    </xf>
    <xf numFmtId="0" fontId="60" fillId="15" borderId="0" applyNumberFormat="0" applyBorder="0" applyAlignment="0" applyProtection="0">
      <alignment vertical="center"/>
    </xf>
    <xf numFmtId="0" fontId="60" fillId="16" borderId="0" applyNumberFormat="0" applyBorder="0" applyAlignment="0" applyProtection="0">
      <alignment vertical="center"/>
    </xf>
    <xf numFmtId="0" fontId="2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8" fillId="0" borderId="0"/>
    <xf numFmtId="0" fontId="8" fillId="0" borderId="0"/>
    <xf numFmtId="0" fontId="55" fillId="0" borderId="0"/>
    <xf numFmtId="0" fontId="8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8" fillId="0" borderId="0"/>
    <xf numFmtId="0" fontId="2" fillId="0" borderId="0"/>
    <xf numFmtId="0" fontId="2" fillId="0" borderId="0"/>
    <xf numFmtId="0" fontId="2" fillId="0" borderId="0"/>
    <xf numFmtId="0" fontId="61" fillId="0" borderId="56" applyNumberFormat="0" applyFill="0" applyAlignment="0" applyProtection="0">
      <alignment vertical="center"/>
    </xf>
    <xf numFmtId="0" fontId="62" fillId="22" borderId="47" applyNumberFormat="0" applyAlignment="0" applyProtection="0">
      <alignment vertical="center"/>
    </xf>
    <xf numFmtId="0" fontId="8" fillId="0" borderId="0"/>
    <xf numFmtId="0" fontId="60" fillId="17" borderId="0" applyNumberFormat="0" applyBorder="0" applyAlignment="0" applyProtection="0">
      <alignment vertical="center"/>
    </xf>
    <xf numFmtId="0" fontId="60" fillId="18" borderId="0" applyNumberFormat="0" applyBorder="0" applyAlignment="0" applyProtection="0">
      <alignment vertical="center"/>
    </xf>
    <xf numFmtId="0" fontId="60" fillId="19" borderId="0" applyNumberFormat="0" applyBorder="0" applyAlignment="0" applyProtection="0">
      <alignment vertical="center"/>
    </xf>
    <xf numFmtId="0" fontId="60" fillId="14" borderId="0" applyNumberFormat="0" applyBorder="0" applyAlignment="0" applyProtection="0">
      <alignment vertical="center"/>
    </xf>
    <xf numFmtId="0" fontId="60" fillId="15" borderId="0" applyNumberFormat="0" applyBorder="0" applyAlignment="0" applyProtection="0">
      <alignment vertical="center"/>
    </xf>
    <xf numFmtId="0" fontId="60" fillId="20" borderId="0" applyNumberFormat="0" applyBorder="0" applyAlignment="0" applyProtection="0">
      <alignment vertical="center"/>
    </xf>
    <xf numFmtId="0" fontId="63" fillId="0" borderId="50" applyNumberFormat="0" applyFill="0" applyAlignment="0" applyProtection="0">
      <alignment vertical="center"/>
    </xf>
    <xf numFmtId="0" fontId="64" fillId="0" borderId="51" applyNumberFormat="0" applyFill="0" applyAlignment="0" applyProtection="0">
      <alignment vertical="center"/>
    </xf>
    <xf numFmtId="0" fontId="65" fillId="0" borderId="52" applyNumberFormat="0" applyFill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7" fillId="22" borderId="55" applyNumberFormat="0" applyAlignment="0" applyProtection="0">
      <alignment vertical="center"/>
    </xf>
    <xf numFmtId="0" fontId="68" fillId="23" borderId="48" applyNumberFormat="0" applyAlignment="0" applyProtection="0">
      <alignment vertical="center"/>
    </xf>
    <xf numFmtId="0" fontId="70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58">
    <xf numFmtId="0" fontId="0" fillId="0" borderId="0" xfId="0"/>
    <xf numFmtId="0" fontId="2" fillId="0" borderId="0" xfId="1" applyAlignment="1">
      <alignment vertical="center"/>
    </xf>
    <xf numFmtId="0" fontId="8" fillId="0" borderId="0" xfId="1" applyFont="1" applyAlignment="1">
      <alignment vertical="center"/>
    </xf>
    <xf numFmtId="0" fontId="8" fillId="0" borderId="0" xfId="1" applyFont="1" applyAlignment="1">
      <alignment horizontal="center" vertical="center"/>
    </xf>
    <xf numFmtId="0" fontId="12" fillId="0" borderId="31" xfId="1" applyFont="1" applyBorder="1" applyAlignment="1">
      <alignment horizontal="center" vertical="center" wrapText="1"/>
    </xf>
    <xf numFmtId="0" fontId="12" fillId="0" borderId="4" xfId="1" applyFont="1" applyBorder="1" applyAlignment="1">
      <alignment horizontal="center" vertical="center" wrapText="1"/>
    </xf>
    <xf numFmtId="0" fontId="12" fillId="0" borderId="21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/>
    </xf>
    <xf numFmtId="0" fontId="5" fillId="0" borderId="6" xfId="1" applyFont="1" applyBorder="1" applyAlignment="1">
      <alignment vertical="center"/>
    </xf>
    <xf numFmtId="0" fontId="2" fillId="0" borderId="6" xfId="1" applyBorder="1" applyAlignment="1">
      <alignment vertical="center"/>
    </xf>
    <xf numFmtId="0" fontId="2" fillId="0" borderId="8" xfId="1" applyBorder="1" applyAlignment="1">
      <alignment vertical="center"/>
    </xf>
    <xf numFmtId="0" fontId="2" fillId="0" borderId="13" xfId="1" applyBorder="1" applyAlignment="1">
      <alignment vertical="center"/>
    </xf>
    <xf numFmtId="0" fontId="2" fillId="0" borderId="14" xfId="1" applyBorder="1" applyAlignment="1">
      <alignment vertical="center"/>
    </xf>
    <xf numFmtId="0" fontId="2" fillId="0" borderId="18" xfId="1" applyBorder="1" applyAlignment="1">
      <alignment vertical="center"/>
    </xf>
    <xf numFmtId="0" fontId="8" fillId="0" borderId="0" xfId="3"/>
    <xf numFmtId="0" fontId="8" fillId="0" borderId="0" xfId="3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0" fontId="10" fillId="0" borderId="0" xfId="3" applyFont="1"/>
    <xf numFmtId="0" fontId="2" fillId="0" borderId="1" xfId="93" applyBorder="1">
      <alignment vertical="center"/>
    </xf>
    <xf numFmtId="0" fontId="2" fillId="0" borderId="3" xfId="93" applyBorder="1">
      <alignment vertical="center"/>
    </xf>
    <xf numFmtId="191" fontId="49" fillId="0" borderId="3" xfId="73" applyNumberFormat="1" applyFont="1" applyBorder="1"/>
    <xf numFmtId="191" fontId="35" fillId="0" borderId="3" xfId="73" applyNumberFormat="1" applyBorder="1"/>
    <xf numFmtId="191" fontId="35" fillId="0" borderId="2" xfId="73" applyNumberFormat="1" applyBorder="1"/>
    <xf numFmtId="0" fontId="5" fillId="0" borderId="28" xfId="3" quotePrefix="1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50" fillId="0" borderId="1" xfId="2" applyFont="1" applyBorder="1" applyAlignment="1">
      <alignment horizontal="center" vertical="center"/>
    </xf>
    <xf numFmtId="0" fontId="51" fillId="0" borderId="1" xfId="93" applyFont="1" applyBorder="1">
      <alignment vertical="center"/>
    </xf>
    <xf numFmtId="0" fontId="5" fillId="0" borderId="28" xfId="3" applyFont="1" applyBorder="1" applyAlignment="1">
      <alignment horizontal="center" vertical="center"/>
    </xf>
    <xf numFmtId="0" fontId="2" fillId="0" borderId="1" xfId="2" quotePrefix="1" applyFont="1" applyBorder="1" applyAlignment="1">
      <alignment horizontal="center" vertical="center"/>
    </xf>
    <xf numFmtId="0" fontId="51" fillId="0" borderId="0" xfId="1" applyFont="1"/>
    <xf numFmtId="0" fontId="2" fillId="0" borderId="1" xfId="2" applyFont="1" applyBorder="1" applyAlignment="1">
      <alignment horizontal="center" vertical="center"/>
    </xf>
    <xf numFmtId="0" fontId="2" fillId="0" borderId="0" xfId="1"/>
    <xf numFmtId="0" fontId="52" fillId="0" borderId="1" xfId="2" applyFont="1" applyBorder="1" applyAlignment="1">
      <alignment horizontal="center"/>
    </xf>
    <xf numFmtId="0" fontId="48" fillId="0" borderId="1" xfId="2" quotePrefix="1" applyFont="1" applyBorder="1" applyAlignment="1">
      <alignment horizontal="center" vertical="center"/>
    </xf>
    <xf numFmtId="0" fontId="10" fillId="0" borderId="0" xfId="3" quotePrefix="1" applyFont="1" applyAlignment="1">
      <alignment horizontal="left"/>
    </xf>
    <xf numFmtId="0" fontId="50" fillId="0" borderId="1" xfId="2" quotePrefix="1" applyFont="1" applyBorder="1" applyAlignment="1">
      <alignment horizontal="center" vertical="center"/>
    </xf>
    <xf numFmtId="0" fontId="51" fillId="0" borderId="0" xfId="1" applyFont="1" applyAlignment="1">
      <alignment horizontal="center"/>
    </xf>
    <xf numFmtId="0" fontId="2" fillId="0" borderId="1" xfId="93" applyBorder="1" applyAlignment="1">
      <alignment horizontal="center" vertical="center"/>
    </xf>
    <xf numFmtId="0" fontId="0" fillId="0" borderId="3" xfId="93" applyFont="1" applyBorder="1">
      <alignment vertical="center"/>
    </xf>
    <xf numFmtId="0" fontId="2" fillId="0" borderId="0" xfId="73" applyFont="1"/>
    <xf numFmtId="1" fontId="2" fillId="2" borderId="60" xfId="73" quotePrefix="1" applyNumberFormat="1" applyFont="1" applyFill="1" applyBorder="1" applyAlignment="1" applyProtection="1">
      <alignment horizontal="left"/>
      <protection locked="0"/>
    </xf>
    <xf numFmtId="0" fontId="8" fillId="0" borderId="3" xfId="3" applyBorder="1"/>
    <xf numFmtId="0" fontId="8" fillId="0" borderId="2" xfId="3" applyBorder="1"/>
    <xf numFmtId="0" fontId="2" fillId="0" borderId="60" xfId="73" applyFont="1" applyBorder="1"/>
    <xf numFmtId="0" fontId="14" fillId="0" borderId="60" xfId="73" applyFont="1" applyBorder="1"/>
    <xf numFmtId="0" fontId="0" fillId="0" borderId="1" xfId="73" applyFont="1" applyBorder="1"/>
    <xf numFmtId="191" fontId="15" fillId="0" borderId="1" xfId="73" applyNumberFormat="1" applyFont="1" applyBorder="1"/>
    <xf numFmtId="191" fontId="2" fillId="0" borderId="1" xfId="73" applyNumberFormat="1" applyFont="1" applyBorder="1"/>
    <xf numFmtId="0" fontId="2" fillId="0" borderId="1" xfId="73" applyFont="1" applyBorder="1"/>
    <xf numFmtId="0" fontId="10" fillId="0" borderId="0" xfId="3" applyFont="1" applyAlignment="1">
      <alignment horizontal="center" vertical="center" wrapText="1"/>
    </xf>
    <xf numFmtId="0" fontId="8" fillId="0" borderId="1" xfId="3" applyBorder="1"/>
    <xf numFmtId="0" fontId="8" fillId="0" borderId="4" xfId="3" applyBorder="1"/>
    <xf numFmtId="0" fontId="6" fillId="0" borderId="61" xfId="3" applyFont="1" applyBorder="1"/>
    <xf numFmtId="0" fontId="6" fillId="0" borderId="60" xfId="3" applyFont="1" applyBorder="1"/>
    <xf numFmtId="0" fontId="8" fillId="0" borderId="19" xfId="3" applyBorder="1"/>
    <xf numFmtId="0" fontId="8" fillId="0" borderId="57" xfId="3" applyBorder="1"/>
    <xf numFmtId="0" fontId="14" fillId="0" borderId="1" xfId="2" quotePrefix="1" applyFont="1" applyBorder="1" applyAlignment="1">
      <alignment horizontal="center" vertical="center"/>
    </xf>
    <xf numFmtId="0" fontId="8" fillId="0" borderId="0" xfId="3" applyAlignment="1">
      <alignment horizontal="left"/>
    </xf>
    <xf numFmtId="0" fontId="8" fillId="0" borderId="0" xfId="3" quotePrefix="1" applyAlignment="1">
      <alignment horizontal="left"/>
    </xf>
    <xf numFmtId="177" fontId="2" fillId="0" borderId="1" xfId="2" applyNumberFormat="1" applyFont="1" applyFill="1" applyBorder="1" applyAlignment="1">
      <alignment horizontal="center" vertical="center" shrinkToFit="1"/>
    </xf>
    <xf numFmtId="0" fontId="54" fillId="0" borderId="0" xfId="1" quotePrefix="1" applyFont="1" applyAlignment="1">
      <alignment horizontal="center"/>
    </xf>
    <xf numFmtId="0" fontId="55" fillId="0" borderId="0" xfId="1" applyFont="1" applyAlignment="1">
      <alignment horizontal="center"/>
    </xf>
    <xf numFmtId="0" fontId="55" fillId="0" borderId="0" xfId="1" quotePrefix="1" applyFont="1" applyAlignment="1">
      <alignment horizontal="center"/>
    </xf>
    <xf numFmtId="0" fontId="2" fillId="0" borderId="1" xfId="1" applyBorder="1" applyAlignment="1">
      <alignment horizontal="center" vertical="center"/>
    </xf>
    <xf numFmtId="0" fontId="40" fillId="0" borderId="0" xfId="2" quotePrefix="1" applyFont="1" applyBorder="1" applyAlignment="1">
      <alignment horizontal="right" vertical="center"/>
    </xf>
    <xf numFmtId="0" fontId="40" fillId="0" borderId="0" xfId="2" applyFont="1" applyBorder="1" applyAlignment="1">
      <alignment horizontal="right" vertical="center"/>
    </xf>
    <xf numFmtId="0" fontId="14" fillId="0" borderId="0" xfId="2" quotePrefix="1" applyFont="1" applyBorder="1" applyAlignment="1">
      <alignment horizontal="right" vertical="center"/>
    </xf>
    <xf numFmtId="49" fontId="5" fillId="0" borderId="12" xfId="1" applyNumberFormat="1" applyFont="1" applyBorder="1" applyAlignment="1">
      <alignment horizontal="center" vertical="center"/>
    </xf>
    <xf numFmtId="0" fontId="40" fillId="0" borderId="0" xfId="2" quotePrefix="1" applyFont="1" applyBorder="1" applyAlignment="1">
      <alignment horizontal="right"/>
    </xf>
    <xf numFmtId="0" fontId="56" fillId="0" borderId="0" xfId="2" applyFont="1" applyBorder="1" applyAlignment="1">
      <alignment horizontal="right" vertical="center"/>
    </xf>
    <xf numFmtId="0" fontId="2" fillId="0" borderId="0" xfId="1" quotePrefix="1" applyAlignment="1">
      <alignment horizontal="right"/>
    </xf>
    <xf numFmtId="0" fontId="71" fillId="28" borderId="0" xfId="149" applyFont="1" applyFill="1" applyBorder="1" applyAlignment="1" applyProtection="1">
      <alignment horizontal="center" vertical="center"/>
    </xf>
    <xf numFmtId="0" fontId="73" fillId="0" borderId="0" xfId="0" applyFont="1"/>
    <xf numFmtId="0" fontId="74" fillId="0" borderId="1" xfId="3" applyFont="1" applyBorder="1"/>
    <xf numFmtId="0" fontId="5" fillId="0" borderId="0" xfId="3" applyFont="1"/>
    <xf numFmtId="0" fontId="76" fillId="0" borderId="0" xfId="2" applyFont="1" applyBorder="1" applyAlignment="1">
      <alignment horizontal="right" vertical="center"/>
    </xf>
    <xf numFmtId="177" fontId="77" fillId="0" borderId="30" xfId="2" applyNumberFormat="1" applyFont="1" applyFill="1" applyBorder="1" applyAlignment="1">
      <alignment horizontal="center" vertical="center"/>
    </xf>
    <xf numFmtId="177" fontId="77" fillId="0" borderId="1" xfId="2" applyNumberFormat="1" applyFont="1" applyFill="1" applyBorder="1" applyAlignment="1">
      <alignment horizontal="center" vertical="center"/>
    </xf>
    <xf numFmtId="177" fontId="77" fillId="0" borderId="29" xfId="2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right"/>
    </xf>
    <xf numFmtId="0" fontId="78" fillId="2" borderId="62" xfId="0" applyFont="1" applyFill="1" applyBorder="1" applyAlignment="1" applyProtection="1">
      <alignment horizontal="center" vertical="center" wrapText="1"/>
      <protection locked="0"/>
    </xf>
    <xf numFmtId="0" fontId="78" fillId="2" borderId="63" xfId="0" applyFont="1" applyFill="1" applyBorder="1" applyAlignment="1" applyProtection="1">
      <alignment horizontal="center" vertical="center" wrapText="1"/>
      <protection locked="0"/>
    </xf>
    <xf numFmtId="0" fontId="78" fillId="2" borderId="64" xfId="0" applyFont="1" applyFill="1" applyBorder="1" applyAlignment="1" applyProtection="1">
      <alignment horizontal="center" vertical="center" wrapText="1"/>
      <protection locked="0"/>
    </xf>
    <xf numFmtId="49" fontId="78" fillId="2" borderId="62" xfId="0" applyNumberFormat="1" applyFont="1" applyFill="1" applyBorder="1" applyAlignment="1" applyProtection="1">
      <alignment horizontal="center" vertical="center" wrapText="1"/>
      <protection locked="0"/>
    </xf>
    <xf numFmtId="49" fontId="78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82" fillId="0" borderId="65" xfId="150" applyFont="1" applyFill="1" applyBorder="1" applyAlignment="1">
      <alignment horizontal="center" vertical="center"/>
    </xf>
    <xf numFmtId="0" fontId="82" fillId="0" borderId="4" xfId="150" applyFont="1" applyFill="1" applyBorder="1" applyAlignment="1">
      <alignment horizontal="center" vertical="center"/>
    </xf>
    <xf numFmtId="0" fontId="82" fillId="0" borderId="21" xfId="150" applyFont="1" applyFill="1" applyBorder="1" applyAlignment="1">
      <alignment horizontal="center" vertical="center"/>
    </xf>
    <xf numFmtId="0" fontId="83" fillId="0" borderId="26" xfId="2" applyFont="1" applyFill="1" applyBorder="1" applyAlignment="1">
      <alignment horizontal="center" vertical="center"/>
    </xf>
    <xf numFmtId="0" fontId="83" fillId="0" borderId="27" xfId="2" applyFont="1" applyFill="1" applyBorder="1" applyAlignment="1">
      <alignment horizontal="center" vertical="center"/>
    </xf>
    <xf numFmtId="0" fontId="83" fillId="0" borderId="24" xfId="2" applyFont="1" applyFill="1" applyBorder="1" applyAlignment="1">
      <alignment horizontal="center" vertical="center"/>
    </xf>
    <xf numFmtId="176" fontId="84" fillId="0" borderId="30" xfId="2" applyNumberFormat="1" applyFont="1" applyFill="1" applyBorder="1" applyAlignment="1">
      <alignment horizontal="center" vertical="center" wrapText="1"/>
    </xf>
    <xf numFmtId="176" fontId="84" fillId="0" borderId="1" xfId="2" applyNumberFormat="1" applyFont="1" applyFill="1" applyBorder="1" applyAlignment="1">
      <alignment horizontal="center" vertical="center" wrapText="1"/>
    </xf>
    <xf numFmtId="176" fontId="84" fillId="0" borderId="29" xfId="2" applyNumberFormat="1" applyFont="1" applyFill="1" applyBorder="1" applyAlignment="1">
      <alignment horizontal="center" vertical="center" wrapText="1"/>
    </xf>
    <xf numFmtId="0" fontId="82" fillId="0" borderId="30" xfId="150" applyFont="1" applyFill="1" applyBorder="1" applyAlignment="1">
      <alignment horizontal="center" vertical="center"/>
    </xf>
    <xf numFmtId="0" fontId="82" fillId="0" borderId="1" xfId="150" applyFont="1" applyFill="1" applyBorder="1" applyAlignment="1">
      <alignment horizontal="center" vertical="center"/>
    </xf>
    <xf numFmtId="0" fontId="83" fillId="0" borderId="29" xfId="2" applyFont="1" applyFill="1" applyBorder="1" applyAlignment="1">
      <alignment horizontal="center" vertical="center"/>
    </xf>
    <xf numFmtId="0" fontId="83" fillId="0" borderId="30" xfId="2" applyFont="1" applyFill="1" applyBorder="1" applyAlignment="1">
      <alignment horizontal="center" vertical="center"/>
    </xf>
    <xf numFmtId="0" fontId="83" fillId="0" borderId="1" xfId="2" applyFont="1" applyFill="1" applyBorder="1" applyAlignment="1">
      <alignment horizontal="center" vertical="center"/>
    </xf>
    <xf numFmtId="49" fontId="85" fillId="2" borderId="32" xfId="0" applyNumberFormat="1" applyFont="1" applyFill="1" applyBorder="1" applyAlignment="1">
      <alignment vertical="center" wrapText="1"/>
    </xf>
    <xf numFmtId="49" fontId="80" fillId="2" borderId="33" xfId="0" applyNumberFormat="1" applyFont="1" applyFill="1" applyBorder="1" applyAlignment="1">
      <alignment vertical="center" wrapText="1"/>
    </xf>
    <xf numFmtId="49" fontId="80" fillId="2" borderId="33" xfId="0" applyNumberFormat="1" applyFont="1" applyFill="1" applyBorder="1" applyAlignment="1">
      <alignment horizontal="center" vertical="center" wrapText="1"/>
    </xf>
    <xf numFmtId="49" fontId="80" fillId="2" borderId="33" xfId="0" applyNumberFormat="1" applyFont="1" applyFill="1" applyBorder="1" applyAlignment="1">
      <alignment vertical="center"/>
    </xf>
    <xf numFmtId="49" fontId="80" fillId="2" borderId="34" xfId="0" applyNumberFormat="1" applyFont="1" applyFill="1" applyBorder="1" applyAlignment="1">
      <alignment vertical="center"/>
    </xf>
    <xf numFmtId="0" fontId="35" fillId="29" borderId="58" xfId="0" applyFont="1" applyFill="1" applyBorder="1" applyAlignment="1" applyProtection="1">
      <alignment horizontal="center" vertical="center"/>
      <protection locked="0"/>
    </xf>
    <xf numFmtId="0" fontId="35" fillId="29" borderId="58" xfId="0" applyFont="1" applyFill="1" applyBorder="1" applyAlignment="1">
      <alignment horizontal="center" vertical="center" wrapText="1"/>
    </xf>
    <xf numFmtId="0" fontId="35" fillId="29" borderId="58" xfId="0" applyFont="1" applyFill="1" applyBorder="1" applyAlignment="1">
      <alignment horizontal="center" vertical="center"/>
    </xf>
    <xf numFmtId="49" fontId="40" fillId="29" borderId="66" xfId="0" applyNumberFormat="1" applyFont="1" applyFill="1" applyBorder="1" applyAlignment="1" applyProtection="1">
      <alignment horizontal="center" vertical="center"/>
      <protection locked="0"/>
    </xf>
    <xf numFmtId="0" fontId="35" fillId="29" borderId="43" xfId="0" applyFont="1" applyFill="1" applyBorder="1" applyAlignment="1">
      <alignment horizontal="center" vertical="center" wrapText="1"/>
    </xf>
    <xf numFmtId="194" fontId="54" fillId="2" borderId="32" xfId="151" applyNumberFormat="1" applyFont="1" applyFill="1" applyBorder="1" applyAlignment="1">
      <alignment horizontal="center" vertical="center"/>
    </xf>
    <xf numFmtId="0" fontId="14" fillId="30" borderId="43" xfId="1" applyFont="1" applyFill="1" applyBorder="1" applyAlignment="1">
      <alignment horizontal="center" vertical="center"/>
    </xf>
    <xf numFmtId="0" fontId="2" fillId="30" borderId="43" xfId="1" applyFill="1" applyBorder="1" applyAlignment="1">
      <alignment horizontal="center" vertical="center"/>
    </xf>
    <xf numFmtId="0" fontId="2" fillId="30" borderId="58" xfId="1" applyFill="1" applyBorder="1" applyAlignment="1">
      <alignment horizontal="center" vertical="center"/>
    </xf>
    <xf numFmtId="192" fontId="2" fillId="30" borderId="58" xfId="1" applyNumberFormat="1" applyFill="1" applyBorder="1" applyAlignment="1">
      <alignment horizontal="center" vertical="center" wrapText="1"/>
    </xf>
    <xf numFmtId="49" fontId="2" fillId="30" borderId="59" xfId="1" applyNumberFormat="1" applyFill="1" applyBorder="1" applyAlignment="1">
      <alignment horizontal="center" vertical="center"/>
    </xf>
    <xf numFmtId="49" fontId="2" fillId="30" borderId="34" xfId="1" applyNumberFormat="1" applyFill="1" applyBorder="1" applyAlignment="1">
      <alignment horizontal="center" vertical="center"/>
    </xf>
    <xf numFmtId="0" fontId="41" fillId="30" borderId="58" xfId="3" quotePrefix="1" applyFont="1" applyFill="1" applyBorder="1" applyAlignment="1">
      <alignment horizontal="center" vertical="center"/>
    </xf>
    <xf numFmtId="193" fontId="86" fillId="30" borderId="32" xfId="73" applyNumberFormat="1" applyFont="1" applyFill="1" applyBorder="1" applyAlignment="1" applyProtection="1">
      <alignment horizontal="center" vertical="center"/>
      <protection locked="0"/>
    </xf>
    <xf numFmtId="193" fontId="86" fillId="30" borderId="33" xfId="73" applyNumberFormat="1" applyFont="1" applyFill="1" applyBorder="1" applyAlignment="1" applyProtection="1">
      <alignment horizontal="center" vertical="center"/>
      <protection locked="0"/>
    </xf>
    <xf numFmtId="193" fontId="86" fillId="30" borderId="34" xfId="73" applyNumberFormat="1" applyFont="1" applyFill="1" applyBorder="1" applyAlignment="1" applyProtection="1">
      <alignment horizontal="center" vertical="center"/>
      <protection locked="0"/>
    </xf>
    <xf numFmtId="49" fontId="8" fillId="0" borderId="11" xfId="1" applyNumberFormat="1" applyFont="1" applyBorder="1" applyAlignment="1">
      <alignment horizontal="center" vertical="center"/>
    </xf>
    <xf numFmtId="0" fontId="35" fillId="0" borderId="32" xfId="1" applyFont="1" applyBorder="1" applyAlignment="1">
      <alignment horizontal="center" vertical="center"/>
    </xf>
    <xf numFmtId="0" fontId="8" fillId="0" borderId="16" xfId="1" quotePrefix="1" applyFont="1" applyBorder="1" applyAlignment="1">
      <alignment horizontal="center" vertical="center" wrapText="1"/>
    </xf>
    <xf numFmtId="0" fontId="8" fillId="0" borderId="35" xfId="1" applyFont="1" applyBorder="1" applyAlignment="1">
      <alignment horizontal="center" vertical="center"/>
    </xf>
    <xf numFmtId="0" fontId="8" fillId="0" borderId="40" xfId="1" applyFont="1" applyBorder="1" applyAlignment="1">
      <alignment horizontal="center" vertical="center"/>
    </xf>
    <xf numFmtId="49" fontId="8" fillId="0" borderId="7" xfId="1" applyNumberFormat="1" applyFont="1" applyBorder="1" applyAlignment="1">
      <alignment horizontal="center" vertical="center"/>
    </xf>
    <xf numFmtId="49" fontId="8" fillId="0" borderId="6" xfId="1" applyNumberFormat="1" applyFont="1" applyBorder="1" applyAlignment="1">
      <alignment horizontal="center" vertical="center"/>
    </xf>
    <xf numFmtId="49" fontId="8" fillId="0" borderId="12" xfId="1" applyNumberFormat="1" applyFont="1" applyBorder="1" applyAlignment="1">
      <alignment horizontal="center" vertical="center"/>
    </xf>
    <xf numFmtId="49" fontId="8" fillId="0" borderId="15" xfId="1" applyNumberFormat="1" applyFont="1" applyBorder="1" applyAlignment="1">
      <alignment horizontal="center" vertical="center" wrapText="1"/>
    </xf>
    <xf numFmtId="0" fontId="35" fillId="0" borderId="22" xfId="93" applyFont="1" applyBorder="1" applyAlignment="1">
      <alignment horizontal="center" vertical="center"/>
    </xf>
    <xf numFmtId="177" fontId="35" fillId="0" borderId="27" xfId="73" applyNumberFormat="1" applyBorder="1" applyAlignment="1" applyProtection="1">
      <alignment horizontal="center" vertical="center"/>
      <protection locked="0"/>
    </xf>
    <xf numFmtId="177" fontId="35" fillId="0" borderId="24" xfId="73" applyNumberFormat="1" applyBorder="1" applyAlignment="1" applyProtection="1">
      <alignment horizontal="center" vertical="center"/>
      <protection locked="0"/>
    </xf>
    <xf numFmtId="0" fontId="35" fillId="0" borderId="28" xfId="93" applyFont="1" applyBorder="1" applyAlignment="1">
      <alignment horizontal="center" vertical="center"/>
    </xf>
    <xf numFmtId="177" fontId="35" fillId="0" borderId="1" xfId="73" applyNumberFormat="1" applyBorder="1" applyAlignment="1" applyProtection="1">
      <alignment horizontal="center" vertical="center"/>
      <protection locked="0"/>
    </xf>
    <xf numFmtId="177" fontId="35" fillId="0" borderId="29" xfId="73" applyNumberFormat="1" applyBorder="1" applyAlignment="1" applyProtection="1">
      <alignment horizontal="center" vertical="center"/>
      <protection locked="0"/>
    </xf>
    <xf numFmtId="0" fontId="88" fillId="0" borderId="1" xfId="2" quotePrefix="1" applyFont="1" applyBorder="1" applyAlignment="1">
      <alignment horizontal="center" vertical="center"/>
    </xf>
    <xf numFmtId="177" fontId="35" fillId="0" borderId="1" xfId="2" applyNumberFormat="1" applyFont="1" applyFill="1" applyBorder="1" applyAlignment="1">
      <alignment horizontal="center" vertical="center" shrinkToFit="1"/>
    </xf>
    <xf numFmtId="2" fontId="35" fillId="0" borderId="1" xfId="73" applyNumberFormat="1" applyBorder="1" applyAlignment="1" applyProtection="1">
      <alignment horizontal="center" vertical="center"/>
      <protection locked="0"/>
    </xf>
    <xf numFmtId="2" fontId="35" fillId="0" borderId="29" xfId="73" applyNumberFormat="1" applyBorder="1" applyAlignment="1" applyProtection="1">
      <alignment horizontal="center" vertical="center"/>
      <protection locked="0"/>
    </xf>
    <xf numFmtId="0" fontId="8" fillId="0" borderId="1" xfId="3" applyBorder="1" applyAlignment="1">
      <alignment horizontal="center" vertical="center"/>
    </xf>
    <xf numFmtId="193" fontId="35" fillId="0" borderId="1" xfId="73" applyNumberFormat="1" applyBorder="1" applyAlignment="1" applyProtection="1">
      <alignment horizontal="center" vertical="center"/>
      <protection locked="0"/>
    </xf>
    <xf numFmtId="190" fontId="35" fillId="0" borderId="1" xfId="73" applyNumberFormat="1" applyBorder="1" applyAlignment="1" applyProtection="1">
      <alignment horizontal="center" vertical="center"/>
      <protection locked="0"/>
    </xf>
    <xf numFmtId="190" fontId="35" fillId="0" borderId="29" xfId="73" applyNumberFormat="1" applyBorder="1" applyAlignment="1" applyProtection="1">
      <alignment horizontal="center" vertical="center"/>
      <protection locked="0"/>
    </xf>
    <xf numFmtId="0" fontId="35" fillId="0" borderId="36" xfId="1" applyFont="1" applyBorder="1" applyAlignment="1">
      <alignment horizontal="center" vertical="center"/>
    </xf>
    <xf numFmtId="0" fontId="35" fillId="0" borderId="37" xfId="1" applyFont="1" applyBorder="1" applyAlignment="1">
      <alignment horizontal="center" vertical="center"/>
    </xf>
    <xf numFmtId="0" fontId="35" fillId="0" borderId="41" xfId="1" applyFont="1" applyBorder="1" applyAlignment="1">
      <alignment horizontal="center" vertical="center"/>
    </xf>
    <xf numFmtId="0" fontId="35" fillId="0" borderId="42" xfId="1" applyFont="1" applyBorder="1" applyAlignment="1">
      <alignment horizontal="center" vertical="center"/>
    </xf>
    <xf numFmtId="0" fontId="35" fillId="0" borderId="33" xfId="1" applyFont="1" applyBorder="1" applyAlignment="1">
      <alignment horizontal="center" vertical="center"/>
    </xf>
    <xf numFmtId="0" fontId="35" fillId="0" borderId="34" xfId="1" applyFont="1" applyBorder="1" applyAlignment="1">
      <alignment horizontal="center" vertical="center"/>
    </xf>
    <xf numFmtId="2" fontId="88" fillId="0" borderId="22" xfId="1" applyNumberFormat="1" applyFont="1" applyBorder="1" applyAlignment="1">
      <alignment horizontal="center" vertical="center"/>
    </xf>
    <xf numFmtId="49" fontId="88" fillId="0" borderId="23" xfId="1" applyNumberFormat="1" applyFont="1" applyBorder="1" applyAlignment="1">
      <alignment horizontal="center" vertical="center"/>
    </xf>
    <xf numFmtId="49" fontId="88" fillId="0" borderId="24" xfId="1" applyNumberFormat="1" applyFont="1" applyBorder="1" applyAlignment="1">
      <alignment horizontal="center" vertical="center"/>
    </xf>
    <xf numFmtId="2" fontId="88" fillId="0" borderId="28" xfId="1" applyNumberFormat="1" applyFont="1" applyBorder="1" applyAlignment="1">
      <alignment horizontal="center" vertical="center"/>
    </xf>
    <xf numFmtId="49" fontId="88" fillId="0" borderId="2" xfId="1" applyNumberFormat="1" applyFont="1" applyBorder="1" applyAlignment="1">
      <alignment horizontal="center" vertical="center"/>
    </xf>
    <xf numFmtId="49" fontId="88" fillId="0" borderId="29" xfId="1" applyNumberFormat="1" applyFont="1" applyBorder="1" applyAlignment="1">
      <alignment horizontal="center" vertical="center"/>
    </xf>
    <xf numFmtId="2" fontId="88" fillId="0" borderId="28" xfId="1" quotePrefix="1" applyNumberFormat="1" applyFont="1" applyBorder="1" applyAlignment="1">
      <alignment horizontal="center" vertical="center"/>
    </xf>
    <xf numFmtId="191" fontId="88" fillId="0" borderId="28" xfId="1" quotePrefix="1" applyNumberFormat="1" applyFont="1" applyBorder="1" applyAlignment="1">
      <alignment horizontal="center" vertical="center"/>
    </xf>
    <xf numFmtId="191" fontId="88" fillId="0" borderId="28" xfId="1" applyNumberFormat="1" applyFont="1" applyBorder="1" applyAlignment="1">
      <alignment horizontal="center" vertical="center"/>
    </xf>
    <xf numFmtId="193" fontId="88" fillId="0" borderId="26" xfId="73" applyNumberFormat="1" applyFont="1" applyBorder="1" applyAlignment="1" applyProtection="1">
      <alignment horizontal="center" vertical="center"/>
      <protection locked="0"/>
    </xf>
    <xf numFmtId="193" fontId="88" fillId="0" borderId="30" xfId="73" applyNumberFormat="1" applyFont="1" applyBorder="1" applyAlignment="1" applyProtection="1">
      <alignment horizontal="center" vertical="center"/>
      <protection locked="0"/>
    </xf>
    <xf numFmtId="193" fontId="88" fillId="0" borderId="65" xfId="73" applyNumberFormat="1" applyFont="1" applyBorder="1" applyAlignment="1" applyProtection="1">
      <alignment horizontal="center" vertical="center"/>
      <protection locked="0"/>
    </xf>
    <xf numFmtId="193" fontId="89" fillId="0" borderId="2" xfId="0" applyNumberFormat="1" applyFont="1" applyBorder="1" applyAlignment="1">
      <alignment horizontal="center" vertical="center"/>
    </xf>
    <xf numFmtId="0" fontId="88" fillId="0" borderId="28" xfId="3" quotePrefix="1" applyFont="1" applyBorder="1" applyAlignment="1">
      <alignment horizontal="center" vertical="center"/>
    </xf>
    <xf numFmtId="0" fontId="88" fillId="0" borderId="22" xfId="93" applyFont="1" applyBorder="1" applyAlignment="1">
      <alignment horizontal="center" vertical="center"/>
    </xf>
    <xf numFmtId="0" fontId="88" fillId="0" borderId="25" xfId="1" applyFont="1" applyBorder="1" applyAlignment="1">
      <alignment horizontal="center" vertical="center"/>
    </xf>
    <xf numFmtId="0" fontId="88" fillId="0" borderId="28" xfId="93" applyFont="1" applyBorder="1" applyAlignment="1">
      <alignment horizontal="center" vertical="center"/>
    </xf>
    <xf numFmtId="193" fontId="88" fillId="0" borderId="27" xfId="73" applyNumberFormat="1" applyFont="1" applyBorder="1" applyAlignment="1" applyProtection="1">
      <alignment horizontal="center" vertical="center"/>
      <protection locked="0"/>
    </xf>
    <xf numFmtId="193" fontId="88" fillId="0" borderId="1" xfId="73" applyNumberFormat="1" applyFont="1" applyBorder="1" applyAlignment="1" applyProtection="1">
      <alignment horizontal="center" vertical="center"/>
      <protection locked="0"/>
    </xf>
    <xf numFmtId="193" fontId="89" fillId="0" borderId="1" xfId="0" applyNumberFormat="1" applyFont="1" applyBorder="1" applyAlignment="1">
      <alignment horizontal="center" vertical="center"/>
    </xf>
    <xf numFmtId="0" fontId="8" fillId="0" borderId="36" xfId="1" applyFont="1" applyBorder="1" applyAlignment="1">
      <alignment horizontal="center" vertical="center"/>
    </xf>
    <xf numFmtId="0" fontId="8" fillId="0" borderId="41" xfId="1" applyFont="1" applyBorder="1" applyAlignment="1">
      <alignment horizontal="center" vertical="center"/>
    </xf>
    <xf numFmtId="49" fontId="88" fillId="0" borderId="25" xfId="1" applyNumberFormat="1" applyFont="1" applyBorder="1" applyAlignment="1">
      <alignment horizontal="center" vertical="center"/>
    </xf>
    <xf numFmtId="49" fontId="88" fillId="0" borderId="38" xfId="1" applyNumberFormat="1" applyFont="1" applyBorder="1" applyAlignment="1">
      <alignment horizontal="center" vertical="center"/>
    </xf>
    <xf numFmtId="49" fontId="88" fillId="0" borderId="28" xfId="1" applyNumberFormat="1" applyFont="1" applyBorder="1" applyAlignment="1">
      <alignment horizontal="center" vertical="center"/>
    </xf>
    <xf numFmtId="49" fontId="88" fillId="0" borderId="67" xfId="1" applyNumberFormat="1" applyFont="1" applyBorder="1" applyAlignment="1">
      <alignment horizontal="center" vertical="center"/>
    </xf>
    <xf numFmtId="0" fontId="40" fillId="0" borderId="28" xfId="93" applyFont="1" applyBorder="1" applyAlignment="1">
      <alignment horizontal="center" vertical="center"/>
    </xf>
    <xf numFmtId="0" fontId="35" fillId="0" borderId="28" xfId="93" quotePrefix="1" applyFont="1" applyBorder="1" applyAlignment="1">
      <alignment horizontal="center" vertical="center"/>
    </xf>
    <xf numFmtId="195" fontId="89" fillId="0" borderId="2" xfId="0" applyNumberFormat="1" applyFont="1" applyBorder="1" applyAlignment="1">
      <alignment horizontal="center" vertical="center"/>
    </xf>
    <xf numFmtId="195" fontId="89" fillId="0" borderId="1" xfId="0" applyNumberFormat="1" applyFont="1" applyBorder="1" applyAlignment="1">
      <alignment horizontal="center" vertical="center"/>
    </xf>
    <xf numFmtId="0" fontId="3" fillId="0" borderId="0" xfId="1" quotePrefix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5" fillId="0" borderId="0" xfId="1" quotePrefix="1" applyFont="1" applyAlignment="1">
      <alignment horizontal="left" vertical="center"/>
    </xf>
    <xf numFmtId="0" fontId="5" fillId="0" borderId="0" xfId="1" applyFont="1" applyAlignment="1">
      <alignment vertical="center"/>
    </xf>
    <xf numFmtId="0" fontId="7" fillId="0" borderId="0" xfId="1" applyFont="1" applyAlignment="1">
      <alignment horizontal="center" vertical="center"/>
    </xf>
    <xf numFmtId="0" fontId="8" fillId="0" borderId="5" xfId="1" applyFont="1" applyBorder="1" applyAlignment="1">
      <alignment vertical="center"/>
    </xf>
    <xf numFmtId="0" fontId="8" fillId="0" borderId="6" xfId="1" applyFont="1" applyBorder="1" applyAlignment="1">
      <alignment vertical="center"/>
    </xf>
    <xf numFmtId="0" fontId="8" fillId="0" borderId="5" xfId="1" quotePrefix="1" applyFont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5" xfId="1" quotePrefix="1" applyFont="1" applyBorder="1" applyAlignment="1">
      <alignment vertical="center"/>
    </xf>
    <xf numFmtId="0" fontId="8" fillId="0" borderId="8" xfId="1" quotePrefix="1" applyFont="1" applyBorder="1" applyAlignment="1">
      <alignment vertical="center"/>
    </xf>
    <xf numFmtId="49" fontId="8" fillId="0" borderId="5" xfId="1" applyNumberFormat="1" applyFont="1" applyBorder="1" applyAlignment="1">
      <alignment horizontal="center" vertical="center"/>
    </xf>
    <xf numFmtId="49" fontId="8" fillId="0" borderId="8" xfId="1" applyNumberFormat="1" applyFont="1" applyBorder="1" applyAlignment="1">
      <alignment horizontal="center" vertical="center"/>
    </xf>
    <xf numFmtId="0" fontId="8" fillId="0" borderId="9" xfId="1" applyFont="1" applyBorder="1" applyAlignment="1">
      <alignment vertical="center"/>
    </xf>
    <xf numFmtId="0" fontId="35" fillId="0" borderId="10" xfId="1" applyFont="1" applyBorder="1" applyAlignment="1">
      <alignment vertical="center"/>
    </xf>
    <xf numFmtId="0" fontId="35" fillId="0" borderId="11" xfId="1" applyFont="1" applyBorder="1" applyAlignment="1">
      <alignment vertical="center"/>
    </xf>
    <xf numFmtId="49" fontId="10" fillId="0" borderId="9" xfId="1" applyNumberFormat="1" applyFont="1" applyBorder="1" applyAlignment="1">
      <alignment horizontal="center" vertical="center"/>
    </xf>
    <xf numFmtId="49" fontId="8" fillId="0" borderId="10" xfId="1" applyNumberFormat="1" applyFont="1" applyBorder="1" applyAlignment="1">
      <alignment horizontal="center" vertical="center"/>
    </xf>
    <xf numFmtId="49" fontId="8" fillId="0" borderId="11" xfId="1" applyNumberFormat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  <xf numFmtId="0" fontId="8" fillId="0" borderId="10" xfId="1" applyFont="1" applyBorder="1" applyAlignment="1">
      <alignment horizontal="center" vertical="center"/>
    </xf>
    <xf numFmtId="0" fontId="8" fillId="0" borderId="11" xfId="1" applyFont="1" applyBorder="1" applyAlignment="1">
      <alignment horizontal="center" vertical="center"/>
    </xf>
    <xf numFmtId="0" fontId="8" fillId="0" borderId="10" xfId="1" applyFont="1" applyBorder="1" applyAlignment="1">
      <alignment vertical="center"/>
    </xf>
    <xf numFmtId="0" fontId="8" fillId="0" borderId="9" xfId="1" quotePrefix="1" applyFont="1" applyBorder="1" applyAlignment="1">
      <alignment horizontal="center" vertical="center"/>
    </xf>
    <xf numFmtId="0" fontId="8" fillId="0" borderId="9" xfId="1" quotePrefix="1" applyFont="1" applyBorder="1" applyAlignment="1">
      <alignment horizontal="left" vertical="center"/>
    </xf>
    <xf numFmtId="0" fontId="8" fillId="0" borderId="11" xfId="1" applyFont="1" applyBorder="1" applyAlignment="1">
      <alignment vertical="center"/>
    </xf>
    <xf numFmtId="49" fontId="8" fillId="0" borderId="9" xfId="1" applyNumberFormat="1" applyFont="1" applyBorder="1" applyAlignment="1">
      <alignment horizontal="center" vertical="center"/>
    </xf>
    <xf numFmtId="176" fontId="8" fillId="0" borderId="9" xfId="1" applyNumberFormat="1" applyFont="1" applyBorder="1" applyAlignment="1">
      <alignment horizontal="center" vertical="center"/>
    </xf>
    <xf numFmtId="176" fontId="8" fillId="0" borderId="10" xfId="1" applyNumberFormat="1" applyFont="1" applyBorder="1" applyAlignment="1">
      <alignment horizontal="center" vertical="center"/>
    </xf>
    <xf numFmtId="176" fontId="8" fillId="0" borderId="11" xfId="1" applyNumberFormat="1" applyFont="1" applyBorder="1" applyAlignment="1">
      <alignment horizontal="center" vertical="center"/>
    </xf>
    <xf numFmtId="0" fontId="8" fillId="0" borderId="13" xfId="1" quotePrefix="1" applyFont="1" applyBorder="1" applyAlignment="1">
      <alignment horizontal="left" vertical="center" wrapText="1"/>
    </xf>
    <xf numFmtId="0" fontId="8" fillId="0" borderId="14" xfId="1" quotePrefix="1" applyFont="1" applyBorder="1" applyAlignment="1">
      <alignment horizontal="left" vertical="center" wrapText="1"/>
    </xf>
    <xf numFmtId="0" fontId="8" fillId="0" borderId="16" xfId="1" quotePrefix="1" applyFont="1" applyBorder="1" applyAlignment="1">
      <alignment horizontal="center" vertical="center"/>
    </xf>
    <xf numFmtId="0" fontId="8" fillId="0" borderId="17" xfId="1" applyFont="1" applyBorder="1" applyAlignment="1">
      <alignment horizontal="center" vertical="center"/>
    </xf>
    <xf numFmtId="0" fontId="8" fillId="0" borderId="13" xfId="1" applyFont="1" applyBorder="1" applyAlignment="1">
      <alignment vertical="center"/>
    </xf>
    <xf numFmtId="0" fontId="8" fillId="0" borderId="18" xfId="1" applyFont="1" applyBorder="1" applyAlignment="1">
      <alignment vertical="center"/>
    </xf>
    <xf numFmtId="0" fontId="87" fillId="0" borderId="13" xfId="1" applyFont="1" applyBorder="1" applyAlignment="1">
      <alignment horizontal="center" vertical="center"/>
    </xf>
    <xf numFmtId="0" fontId="87" fillId="0" borderId="18" xfId="1" applyFont="1" applyBorder="1" applyAlignment="1">
      <alignment horizontal="center" vertical="center"/>
    </xf>
    <xf numFmtId="0" fontId="8" fillId="0" borderId="19" xfId="1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8" fillId="0" borderId="7" xfId="1" quotePrefix="1" applyFont="1" applyBorder="1" applyAlignment="1">
      <alignment horizontal="center" vertical="center" wrapText="1"/>
    </xf>
    <xf numFmtId="0" fontId="8" fillId="0" borderId="15" xfId="1" quotePrefix="1" applyFont="1" applyBorder="1" applyAlignment="1">
      <alignment horizontal="center" vertical="center" wrapText="1"/>
    </xf>
    <xf numFmtId="0" fontId="8" fillId="0" borderId="5" xfId="1" quotePrefix="1" applyFont="1" applyBorder="1" applyAlignment="1">
      <alignment horizontal="center" vertical="center" wrapText="1"/>
    </xf>
    <xf numFmtId="0" fontId="8" fillId="0" borderId="8" xfId="1" quotePrefix="1" applyFont="1" applyBorder="1" applyAlignment="1">
      <alignment horizontal="center" vertical="center" wrapText="1"/>
    </xf>
    <xf numFmtId="0" fontId="8" fillId="0" borderId="13" xfId="1" quotePrefix="1" applyFont="1" applyBorder="1" applyAlignment="1">
      <alignment horizontal="center" vertical="center" wrapText="1"/>
    </xf>
    <xf numFmtId="0" fontId="8" fillId="0" borderId="18" xfId="1" quotePrefix="1" applyFont="1" applyBorder="1" applyAlignment="1">
      <alignment horizontal="center" vertical="center" wrapText="1"/>
    </xf>
    <xf numFmtId="0" fontId="8" fillId="0" borderId="7" xfId="1" applyFont="1" applyBorder="1" applyAlignment="1">
      <alignment horizontal="center" vertical="center" wrapText="1"/>
    </xf>
    <xf numFmtId="0" fontId="35" fillId="0" borderId="15" xfId="1" applyFont="1" applyBorder="1" applyAlignment="1">
      <alignment vertical="center"/>
    </xf>
    <xf numFmtId="0" fontId="8" fillId="0" borderId="45" xfId="1" quotePrefix="1" applyFont="1" applyBorder="1" applyAlignment="1">
      <alignment horizontal="center" vertical="center" wrapText="1"/>
    </xf>
    <xf numFmtId="0" fontId="43" fillId="0" borderId="5" xfId="1" quotePrefix="1" applyFont="1" applyBorder="1" applyAlignment="1">
      <alignment horizontal="left" vertical="top" wrapText="1"/>
    </xf>
    <xf numFmtId="0" fontId="43" fillId="0" borderId="6" xfId="1" quotePrefix="1" applyFont="1" applyBorder="1" applyAlignment="1">
      <alignment horizontal="left" vertical="top" wrapText="1"/>
    </xf>
    <xf numFmtId="0" fontId="43" fillId="0" borderId="6" xfId="1" applyFont="1" applyBorder="1" applyAlignment="1">
      <alignment vertical="top" wrapText="1"/>
    </xf>
    <xf numFmtId="0" fontId="43" fillId="0" borderId="8" xfId="1" applyFont="1" applyBorder="1" applyAlignment="1">
      <alignment vertical="top" wrapText="1"/>
    </xf>
    <xf numFmtId="0" fontId="43" fillId="0" borderId="13" xfId="1" applyFont="1" applyBorder="1" applyAlignment="1">
      <alignment vertical="top" wrapText="1"/>
    </xf>
    <xf numFmtId="0" fontId="43" fillId="0" borderId="14" xfId="1" applyFont="1" applyBorder="1" applyAlignment="1">
      <alignment vertical="top" wrapText="1"/>
    </xf>
    <xf numFmtId="0" fontId="43" fillId="0" borderId="18" xfId="1" applyFont="1" applyBorder="1" applyAlignment="1">
      <alignment vertical="top" wrapText="1"/>
    </xf>
    <xf numFmtId="0" fontId="8" fillId="0" borderId="14" xfId="1" quotePrefix="1" applyFont="1" applyBorder="1" applyAlignment="1">
      <alignment horizontal="center" vertical="center" wrapText="1"/>
    </xf>
    <xf numFmtId="0" fontId="8" fillId="0" borderId="0" xfId="1" quotePrefix="1" applyFont="1" applyAlignment="1">
      <alignment horizontal="center" vertical="center" wrapText="1"/>
    </xf>
    <xf numFmtId="0" fontId="8" fillId="0" borderId="38" xfId="1" quotePrefix="1" applyFont="1" applyBorder="1" applyAlignment="1">
      <alignment horizontal="center" vertical="center"/>
    </xf>
    <xf numFmtId="0" fontId="8" fillId="0" borderId="39" xfId="1" quotePrefix="1" applyFont="1" applyBorder="1" applyAlignment="1">
      <alignment horizontal="center" vertical="center"/>
    </xf>
    <xf numFmtId="0" fontId="8" fillId="0" borderId="39" xfId="1" applyFont="1" applyBorder="1" applyAlignment="1">
      <alignment horizontal="center" vertical="center"/>
    </xf>
    <xf numFmtId="0" fontId="8" fillId="0" borderId="43" xfId="1" applyFont="1" applyBorder="1" applyAlignment="1">
      <alignment horizontal="center" vertical="center"/>
    </xf>
    <xf numFmtId="0" fontId="8" fillId="0" borderId="44" xfId="1" applyFont="1" applyBorder="1" applyAlignment="1">
      <alignment horizontal="center" vertical="center"/>
    </xf>
    <xf numFmtId="0" fontId="15" fillId="0" borderId="5" xfId="1" quotePrefix="1" applyFont="1" applyBorder="1" applyAlignment="1">
      <alignment horizontal="center" vertical="center"/>
    </xf>
    <xf numFmtId="0" fontId="15" fillId="0" borderId="6" xfId="1" quotePrefix="1" applyFont="1" applyBorder="1" applyAlignment="1">
      <alignment horizontal="center" vertical="center"/>
    </xf>
    <xf numFmtId="0" fontId="15" fillId="0" borderId="6" xfId="1" applyFont="1" applyBorder="1" applyAlignment="1">
      <alignment horizontal="center" vertical="center"/>
    </xf>
    <xf numFmtId="49" fontId="78" fillId="25" borderId="5" xfId="0" applyNumberFormat="1" applyFont="1" applyFill="1" applyBorder="1" applyAlignment="1" applyProtection="1">
      <alignment horizontal="center" vertical="center" wrapText="1"/>
      <protection locked="0"/>
    </xf>
    <xf numFmtId="49" fontId="78" fillId="25" borderId="13" xfId="0" applyNumberFormat="1" applyFont="1" applyFill="1" applyBorder="1" applyAlignment="1" applyProtection="1">
      <alignment horizontal="center" vertical="center" wrapText="1"/>
      <protection locked="0"/>
    </xf>
    <xf numFmtId="0" fontId="78" fillId="2" borderId="5" xfId="0" applyFont="1" applyFill="1" applyBorder="1" applyAlignment="1">
      <alignment horizontal="center" vertical="center" wrapText="1"/>
    </xf>
    <xf numFmtId="0" fontId="78" fillId="2" borderId="6" xfId="0" applyFont="1" applyFill="1" applyBorder="1" applyAlignment="1">
      <alignment horizontal="center" vertical="center" wrapText="1"/>
    </xf>
    <xf numFmtId="0" fontId="78" fillId="2" borderId="8" xfId="0" applyFont="1" applyFill="1" applyBorder="1" applyAlignment="1">
      <alignment horizontal="center" vertical="center" wrapText="1"/>
    </xf>
    <xf numFmtId="49" fontId="78" fillId="2" borderId="9" xfId="0" applyNumberFormat="1" applyFont="1" applyFill="1" applyBorder="1" applyAlignment="1">
      <alignment horizontal="center" vertical="center" wrapText="1"/>
    </xf>
    <xf numFmtId="49" fontId="78" fillId="2" borderId="10" xfId="0" applyNumberFormat="1" applyFont="1" applyFill="1" applyBorder="1" applyAlignment="1">
      <alignment horizontal="center" vertical="center" wrapText="1"/>
    </xf>
    <xf numFmtId="49" fontId="78" fillId="2" borderId="11" xfId="0" applyNumberFormat="1" applyFont="1" applyFill="1" applyBorder="1" applyAlignment="1">
      <alignment horizontal="center" vertical="center" wrapText="1"/>
    </xf>
    <xf numFmtId="0" fontId="78" fillId="2" borderId="7" xfId="0" applyFont="1" applyFill="1" applyBorder="1" applyAlignment="1" applyProtection="1">
      <alignment horizontal="center" vertical="center" wrapText="1"/>
      <protection locked="0"/>
    </xf>
    <xf numFmtId="0" fontId="78" fillId="2" borderId="15" xfId="0" applyFont="1" applyFill="1" applyBorder="1" applyAlignment="1" applyProtection="1">
      <alignment horizontal="center" vertical="center" wrapText="1"/>
      <protection locked="0"/>
    </xf>
    <xf numFmtId="0" fontId="80" fillId="2" borderId="15" xfId="0" applyFont="1" applyFill="1" applyBorder="1" applyAlignment="1">
      <alignment horizontal="center" vertical="center" wrapText="1"/>
    </xf>
    <xf numFmtId="0" fontId="78" fillId="25" borderId="5" xfId="0" applyFont="1" applyFill="1" applyBorder="1" applyAlignment="1" applyProtection="1">
      <alignment horizontal="center" vertical="center" wrapText="1"/>
      <protection locked="0"/>
    </xf>
    <xf numFmtId="0" fontId="78" fillId="25" borderId="13" xfId="0" applyFont="1" applyFill="1" applyBorder="1" applyAlignment="1" applyProtection="1">
      <alignment horizontal="center" vertical="center" wrapText="1"/>
      <protection locked="0"/>
    </xf>
  </cellXfs>
  <cellStyles count="152">
    <cellStyle name="??&amp;_x0012_?&amp;_x000b_?_x0008_*_x0007_?_x0007__x0001__x0001_" xfId="94" xr:uid="{00000000-0005-0000-0000-000000000000}"/>
    <cellStyle name="=C:\WINNT35\SYSTEM32\COMMAND.COM" xfId="2" xr:uid="{00000000-0005-0000-0000-000001000000}"/>
    <cellStyle name="=C:\WINNT35\SYSTEM32\COMMAND.COM 2" xfId="95" xr:uid="{00000000-0005-0000-0000-000002000000}"/>
    <cellStyle name="=C:\WINNT35\SYSTEM32\COMMAND.COM_11598-3391030-1081105" xfId="151" xr:uid="{00000000-0005-0000-0000-000003000000}"/>
    <cellStyle name="=C:\WINNT35\SYSTEM32\COMMAND.COM_INFO" xfId="150" xr:uid="{00000000-0005-0000-0000-000004000000}"/>
    <cellStyle name="20% - Accent1" xfId="4" xr:uid="{00000000-0005-0000-0000-000005000000}"/>
    <cellStyle name="20% - Accent2" xfId="5" xr:uid="{00000000-0005-0000-0000-000006000000}"/>
    <cellStyle name="20% - Accent3" xfId="6" xr:uid="{00000000-0005-0000-0000-000007000000}"/>
    <cellStyle name="20% - Accent4" xfId="7" xr:uid="{00000000-0005-0000-0000-000008000000}"/>
    <cellStyle name="20% - Accent5" xfId="8" xr:uid="{00000000-0005-0000-0000-000009000000}"/>
    <cellStyle name="20% - Accent6" xfId="9" xr:uid="{00000000-0005-0000-0000-00000A000000}"/>
    <cellStyle name="20% - 强调文字颜色 4" xfId="96" xr:uid="{00000000-0005-0000-0000-00000B000000}"/>
    <cellStyle name="20% - 輔色1 2" xfId="97" xr:uid="{00000000-0005-0000-0000-00000C000000}"/>
    <cellStyle name="20% - 輔色2 2" xfId="98" xr:uid="{00000000-0005-0000-0000-00000D000000}"/>
    <cellStyle name="20% - 輔色3 2" xfId="99" xr:uid="{00000000-0005-0000-0000-00000E000000}"/>
    <cellStyle name="20% - 輔色4 2" xfId="100" xr:uid="{00000000-0005-0000-0000-00000F000000}"/>
    <cellStyle name="40% - Accent1" xfId="10" xr:uid="{00000000-0005-0000-0000-000010000000}"/>
    <cellStyle name="40% - Accent2" xfId="11" xr:uid="{00000000-0005-0000-0000-000011000000}"/>
    <cellStyle name="40% - Accent3" xfId="12" xr:uid="{00000000-0005-0000-0000-000012000000}"/>
    <cellStyle name="40% - Accent4" xfId="13" xr:uid="{00000000-0005-0000-0000-000013000000}"/>
    <cellStyle name="40% - Accent5" xfId="14" xr:uid="{00000000-0005-0000-0000-000014000000}"/>
    <cellStyle name="40% - Accent6" xfId="15" xr:uid="{00000000-0005-0000-0000-000015000000}"/>
    <cellStyle name="40% - 輔色1 2" xfId="101" xr:uid="{00000000-0005-0000-0000-000016000000}"/>
    <cellStyle name="40% - 輔色3 2" xfId="102" xr:uid="{00000000-0005-0000-0000-000017000000}"/>
    <cellStyle name="40% - 輔色4 2" xfId="103" xr:uid="{00000000-0005-0000-0000-000018000000}"/>
    <cellStyle name="40% - 輔色6 2" xfId="104" xr:uid="{00000000-0005-0000-0000-000019000000}"/>
    <cellStyle name="60% - Accent1" xfId="16" xr:uid="{00000000-0005-0000-0000-00001A000000}"/>
    <cellStyle name="60% - Accent2" xfId="17" xr:uid="{00000000-0005-0000-0000-00001B000000}"/>
    <cellStyle name="60% - Accent3" xfId="18" xr:uid="{00000000-0005-0000-0000-00001C000000}"/>
    <cellStyle name="60% - Accent4" xfId="19" xr:uid="{00000000-0005-0000-0000-00001D000000}"/>
    <cellStyle name="60% - Accent5" xfId="20" xr:uid="{00000000-0005-0000-0000-00001E000000}"/>
    <cellStyle name="60% - Accent6" xfId="21" xr:uid="{00000000-0005-0000-0000-00001F000000}"/>
    <cellStyle name="60% - 輔色1 2" xfId="105" xr:uid="{00000000-0005-0000-0000-000020000000}"/>
    <cellStyle name="60% - 輔色2 2" xfId="106" xr:uid="{00000000-0005-0000-0000-000021000000}"/>
    <cellStyle name="60% - 輔色3 2" xfId="107" xr:uid="{00000000-0005-0000-0000-000022000000}"/>
    <cellStyle name="60% - 輔色4 2" xfId="108" xr:uid="{00000000-0005-0000-0000-000023000000}"/>
    <cellStyle name="60% - 輔色5 2" xfId="109" xr:uid="{00000000-0005-0000-0000-000024000000}"/>
    <cellStyle name="60% - 輔色6 2" xfId="110" xr:uid="{00000000-0005-0000-0000-000025000000}"/>
    <cellStyle name="Accent1" xfId="22" xr:uid="{00000000-0005-0000-0000-000026000000}"/>
    <cellStyle name="Accent2" xfId="23" xr:uid="{00000000-0005-0000-0000-000027000000}"/>
    <cellStyle name="Accent3" xfId="24" xr:uid="{00000000-0005-0000-0000-000028000000}"/>
    <cellStyle name="Accent4" xfId="25" xr:uid="{00000000-0005-0000-0000-000029000000}"/>
    <cellStyle name="Accent5" xfId="26" xr:uid="{00000000-0005-0000-0000-00002A000000}"/>
    <cellStyle name="Accent6" xfId="27" xr:uid="{00000000-0005-0000-0000-00002B000000}"/>
    <cellStyle name="Actual Date" xfId="28" xr:uid="{00000000-0005-0000-0000-00002C000000}"/>
    <cellStyle name="args.style" xfId="29" xr:uid="{00000000-0005-0000-0000-00002D000000}"/>
    <cellStyle name="Bad" xfId="30" xr:uid="{00000000-0005-0000-0000-00002E000000}"/>
    <cellStyle name="Calc Currency (0)" xfId="31" xr:uid="{00000000-0005-0000-0000-00002F000000}"/>
    <cellStyle name="Calc Currency (2)" xfId="32" xr:uid="{00000000-0005-0000-0000-000030000000}"/>
    <cellStyle name="Calc Percent (0)" xfId="33" xr:uid="{00000000-0005-0000-0000-000031000000}"/>
    <cellStyle name="Calc Percent (1)" xfId="34" xr:uid="{00000000-0005-0000-0000-000032000000}"/>
    <cellStyle name="Calc Percent (2)" xfId="35" xr:uid="{00000000-0005-0000-0000-000033000000}"/>
    <cellStyle name="Calc Units (0)" xfId="36" xr:uid="{00000000-0005-0000-0000-000034000000}"/>
    <cellStyle name="Calc Units (1)" xfId="37" xr:uid="{00000000-0005-0000-0000-000035000000}"/>
    <cellStyle name="Calc Units (2)" xfId="38" xr:uid="{00000000-0005-0000-0000-000036000000}"/>
    <cellStyle name="Calculation" xfId="39" xr:uid="{00000000-0005-0000-0000-000037000000}"/>
    <cellStyle name="category" xfId="40" xr:uid="{00000000-0005-0000-0000-000038000000}"/>
    <cellStyle name="Check Cell" xfId="41" xr:uid="{00000000-0005-0000-0000-000039000000}"/>
    <cellStyle name="Comma [00]" xfId="42" xr:uid="{00000000-0005-0000-0000-00003A000000}"/>
    <cellStyle name="comma zerodec" xfId="43" xr:uid="{00000000-0005-0000-0000-00003B000000}"/>
    <cellStyle name="Copied" xfId="44" xr:uid="{00000000-0005-0000-0000-00003C000000}"/>
    <cellStyle name="Currency [00]" xfId="45" xr:uid="{00000000-0005-0000-0000-00003D000000}"/>
    <cellStyle name="DATE" xfId="46" xr:uid="{00000000-0005-0000-0000-00003E000000}"/>
    <cellStyle name="Date Short" xfId="47" xr:uid="{00000000-0005-0000-0000-00003F000000}"/>
    <cellStyle name="DELTA" xfId="48" xr:uid="{00000000-0005-0000-0000-000040000000}"/>
    <cellStyle name="Enter Currency (0)" xfId="49" xr:uid="{00000000-0005-0000-0000-000041000000}"/>
    <cellStyle name="Enter Currency (2)" xfId="50" xr:uid="{00000000-0005-0000-0000-000042000000}"/>
    <cellStyle name="Enter Units (0)" xfId="51" xr:uid="{00000000-0005-0000-0000-000043000000}"/>
    <cellStyle name="Enter Units (1)" xfId="52" xr:uid="{00000000-0005-0000-0000-000044000000}"/>
    <cellStyle name="Enter Units (2)" xfId="53" xr:uid="{00000000-0005-0000-0000-000045000000}"/>
    <cellStyle name="Explanatory Text" xfId="54" xr:uid="{00000000-0005-0000-0000-000046000000}"/>
    <cellStyle name="Good" xfId="55" xr:uid="{00000000-0005-0000-0000-000047000000}"/>
    <cellStyle name="Grey" xfId="56" xr:uid="{00000000-0005-0000-0000-000048000000}"/>
    <cellStyle name="Header1" xfId="57" xr:uid="{00000000-0005-0000-0000-000049000000}"/>
    <cellStyle name="Header2" xfId="58" xr:uid="{00000000-0005-0000-0000-00004A000000}"/>
    <cellStyle name="Heading 1" xfId="59" xr:uid="{00000000-0005-0000-0000-00004B000000}"/>
    <cellStyle name="Heading 2" xfId="60" xr:uid="{00000000-0005-0000-0000-00004C000000}"/>
    <cellStyle name="Heading 3" xfId="61" xr:uid="{00000000-0005-0000-0000-00004D000000}"/>
    <cellStyle name="Heading 4" xfId="62" xr:uid="{00000000-0005-0000-0000-00004E000000}"/>
    <cellStyle name="Input" xfId="63" xr:uid="{00000000-0005-0000-0000-00004F000000}"/>
    <cellStyle name="Input [yellow]" xfId="64" xr:uid="{00000000-0005-0000-0000-000050000000}"/>
    <cellStyle name="Link Currency (0)" xfId="65" xr:uid="{00000000-0005-0000-0000-000051000000}"/>
    <cellStyle name="Link Currency (2)" xfId="66" xr:uid="{00000000-0005-0000-0000-000052000000}"/>
    <cellStyle name="Link Units (0)" xfId="67" xr:uid="{00000000-0005-0000-0000-000053000000}"/>
    <cellStyle name="Link Units (1)" xfId="68" xr:uid="{00000000-0005-0000-0000-000054000000}"/>
    <cellStyle name="Link Units (2)" xfId="69" xr:uid="{00000000-0005-0000-0000-000055000000}"/>
    <cellStyle name="Linked Cell" xfId="70" xr:uid="{00000000-0005-0000-0000-000056000000}"/>
    <cellStyle name="Neutral" xfId="71" xr:uid="{00000000-0005-0000-0000-000057000000}"/>
    <cellStyle name="Normal - Style1" xfId="72" xr:uid="{00000000-0005-0000-0000-000058000000}"/>
    <cellStyle name="Normal_Cor40WWPSQ0040'Rev2 FAI" xfId="73" xr:uid="{00000000-0005-0000-0000-000059000000}"/>
    <cellStyle name="Note" xfId="74" xr:uid="{00000000-0005-0000-0000-00005A000000}"/>
    <cellStyle name="Output" xfId="75" xr:uid="{00000000-0005-0000-0000-00005B000000}"/>
    <cellStyle name="Percent [0]" xfId="76" xr:uid="{00000000-0005-0000-0000-00005C000000}"/>
    <cellStyle name="Percent [00]" xfId="77" xr:uid="{00000000-0005-0000-0000-00005D000000}"/>
    <cellStyle name="Percent [2]" xfId="78" xr:uid="{00000000-0005-0000-0000-00005E000000}"/>
    <cellStyle name="PrePop Currency (0)" xfId="79" xr:uid="{00000000-0005-0000-0000-00005F000000}"/>
    <cellStyle name="PrePop Currency (2)" xfId="80" xr:uid="{00000000-0005-0000-0000-000060000000}"/>
    <cellStyle name="PrePop Units (0)" xfId="81" xr:uid="{00000000-0005-0000-0000-000061000000}"/>
    <cellStyle name="PrePop Units (1)" xfId="82" xr:uid="{00000000-0005-0000-0000-000062000000}"/>
    <cellStyle name="PrePop Units (2)" xfId="83" xr:uid="{00000000-0005-0000-0000-000063000000}"/>
    <cellStyle name="Style 1" xfId="84" xr:uid="{00000000-0005-0000-0000-000064000000}"/>
    <cellStyle name="Text Indent A" xfId="85" xr:uid="{00000000-0005-0000-0000-000065000000}"/>
    <cellStyle name="Text Indent B" xfId="86" xr:uid="{00000000-0005-0000-0000-000066000000}"/>
    <cellStyle name="Text Indent C" xfId="87" xr:uid="{00000000-0005-0000-0000-000067000000}"/>
    <cellStyle name="Title" xfId="88" xr:uid="{00000000-0005-0000-0000-000068000000}"/>
    <cellStyle name="Total" xfId="89" xr:uid="{00000000-0005-0000-0000-000069000000}"/>
    <cellStyle name="Warning Text" xfId="90" xr:uid="{00000000-0005-0000-0000-00006A000000}"/>
    <cellStyle name="一般" xfId="0" builtinId="0"/>
    <cellStyle name="一般 101" xfId="111" xr:uid="{00000000-0005-0000-0000-00006C000000}"/>
    <cellStyle name="一般 11" xfId="112" xr:uid="{00000000-0005-0000-0000-00006D000000}"/>
    <cellStyle name="一般 12" xfId="113" xr:uid="{00000000-0005-0000-0000-00006E000000}"/>
    <cellStyle name="一般 13" xfId="114" xr:uid="{00000000-0005-0000-0000-00006F000000}"/>
    <cellStyle name="一般 18" xfId="115" xr:uid="{00000000-0005-0000-0000-000070000000}"/>
    <cellStyle name="一般 19" xfId="116" xr:uid="{00000000-0005-0000-0000-000071000000}"/>
    <cellStyle name="一般 2" xfId="1" xr:uid="{00000000-0005-0000-0000-000072000000}"/>
    <cellStyle name="一般 20" xfId="117" xr:uid="{00000000-0005-0000-0000-000073000000}"/>
    <cellStyle name="一般 3" xfId="118" xr:uid="{00000000-0005-0000-0000-000074000000}"/>
    <cellStyle name="一般 3 2" xfId="119" xr:uid="{00000000-0005-0000-0000-000075000000}"/>
    <cellStyle name="一般 3 3" xfId="120" xr:uid="{00000000-0005-0000-0000-000076000000}"/>
    <cellStyle name="一般 3_0505OEM AFM 追件" xfId="121" xr:uid="{00000000-0005-0000-0000-000077000000}"/>
    <cellStyle name="一般 30" xfId="122" xr:uid="{00000000-0005-0000-0000-000078000000}"/>
    <cellStyle name="一般 33" xfId="123" xr:uid="{00000000-0005-0000-0000-000079000000}"/>
    <cellStyle name="一般 4" xfId="124" xr:uid="{00000000-0005-0000-0000-00007A000000}"/>
    <cellStyle name="一般 5" xfId="125" xr:uid="{00000000-0005-0000-0000-00007B000000}"/>
    <cellStyle name="一般 5 2" xfId="126" xr:uid="{00000000-0005-0000-0000-00007C000000}"/>
    <cellStyle name="一般 5 3" xfId="127" xr:uid="{00000000-0005-0000-0000-00007D000000}"/>
    <cellStyle name="一般 5_0505OEM AFM 追件" xfId="128" xr:uid="{00000000-0005-0000-0000-00007E000000}"/>
    <cellStyle name="一般 6" xfId="129" xr:uid="{00000000-0005-0000-0000-00007F000000}"/>
    <cellStyle name="一般 7" xfId="130" xr:uid="{00000000-0005-0000-0000-000080000000}"/>
    <cellStyle name="一般 8" xfId="131" xr:uid="{00000000-0005-0000-0000-000081000000}"/>
    <cellStyle name="一般 9" xfId="132" xr:uid="{00000000-0005-0000-0000-000082000000}"/>
    <cellStyle name="一般_FAI Format" xfId="93" xr:uid="{00000000-0005-0000-0000-000083000000}"/>
    <cellStyle name="一般_FVSE-FAI~新表格20121220" xfId="3" xr:uid="{00000000-0005-0000-0000-000084000000}"/>
    <cellStyle name="合計 2" xfId="133" xr:uid="{00000000-0005-0000-0000-000085000000}"/>
    <cellStyle name="計算方式 2" xfId="134" xr:uid="{00000000-0005-0000-0000-000086000000}"/>
    <cellStyle name="常规 2" xfId="135" xr:uid="{00000000-0005-0000-0000-000087000000}"/>
    <cellStyle name="常规_52EE6000" xfId="91" xr:uid="{00000000-0005-0000-0000-000088000000}"/>
    <cellStyle name="超連結" xfId="149" builtinId="8"/>
    <cellStyle name="輔色1 2" xfId="136" xr:uid="{00000000-0005-0000-0000-00008A000000}"/>
    <cellStyle name="輔色2 2" xfId="137" xr:uid="{00000000-0005-0000-0000-00008B000000}"/>
    <cellStyle name="輔色3 2" xfId="138" xr:uid="{00000000-0005-0000-0000-00008C000000}"/>
    <cellStyle name="輔色4 2" xfId="139" xr:uid="{00000000-0005-0000-0000-00008D000000}"/>
    <cellStyle name="輔色5 2" xfId="140" xr:uid="{00000000-0005-0000-0000-00008E000000}"/>
    <cellStyle name="輔色6 2" xfId="141" xr:uid="{00000000-0005-0000-0000-00008F000000}"/>
    <cellStyle name="標題 1 2" xfId="142" xr:uid="{00000000-0005-0000-0000-000090000000}"/>
    <cellStyle name="標題 2 2" xfId="143" xr:uid="{00000000-0005-0000-0000-000091000000}"/>
    <cellStyle name="標題 3 2" xfId="144" xr:uid="{00000000-0005-0000-0000-000092000000}"/>
    <cellStyle name="標題 4 2" xfId="145" xr:uid="{00000000-0005-0000-0000-000093000000}"/>
    <cellStyle name="標題 5" xfId="146" xr:uid="{00000000-0005-0000-0000-000094000000}"/>
    <cellStyle name="樣式 1" xfId="92" xr:uid="{00000000-0005-0000-0000-000095000000}"/>
    <cellStyle name="輸出 2" xfId="147" xr:uid="{00000000-0005-0000-0000-000096000000}"/>
    <cellStyle name="檢查儲存格 2" xfId="148" xr:uid="{00000000-0005-0000-0000-000097000000}"/>
  </cellStyles>
  <dxfs count="278"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  <fill>
        <patternFill>
          <bgColor indexed="26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10"/>
      </font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31750</xdr:rowOff>
    </xdr:from>
    <xdr:to>
      <xdr:col>2</xdr:col>
      <xdr:colOff>137583</xdr:colOff>
      <xdr:row>1</xdr:row>
      <xdr:rowOff>298944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750"/>
          <a:ext cx="1301750" cy="6481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190500</xdr:colOff>
      <xdr:row>7</xdr:row>
      <xdr:rowOff>11206</xdr:rowOff>
    </xdr:from>
    <xdr:to>
      <xdr:col>2</xdr:col>
      <xdr:colOff>428625</xdr:colOff>
      <xdr:row>7</xdr:row>
      <xdr:rowOff>211231</xdr:rowOff>
    </xdr:to>
    <xdr:pic>
      <xdr:nvPicPr>
        <xdr:cNvPr id="4" name="Picture 100" descr="acafai_symbols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55912" y="1871382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174812</xdr:colOff>
      <xdr:row>15</xdr:row>
      <xdr:rowOff>17929</xdr:rowOff>
    </xdr:from>
    <xdr:to>
      <xdr:col>2</xdr:col>
      <xdr:colOff>412937</xdr:colOff>
      <xdr:row>16</xdr:row>
      <xdr:rowOff>5043</xdr:rowOff>
    </xdr:to>
    <xdr:pic>
      <xdr:nvPicPr>
        <xdr:cNvPr id="5" name="Picture 100" descr="acafai_symbols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40224" y="3581400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170330</xdr:colOff>
      <xdr:row>17</xdr:row>
      <xdr:rowOff>13447</xdr:rowOff>
    </xdr:from>
    <xdr:to>
      <xdr:col>2</xdr:col>
      <xdr:colOff>408455</xdr:colOff>
      <xdr:row>18</xdr:row>
      <xdr:rowOff>560</xdr:rowOff>
    </xdr:to>
    <xdr:pic>
      <xdr:nvPicPr>
        <xdr:cNvPr id="6" name="Picture 100" descr="acafai_symbols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5742" y="4002741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159124</xdr:colOff>
      <xdr:row>53</xdr:row>
      <xdr:rowOff>13447</xdr:rowOff>
    </xdr:from>
    <xdr:to>
      <xdr:col>2</xdr:col>
      <xdr:colOff>397249</xdr:colOff>
      <xdr:row>54</xdr:row>
      <xdr:rowOff>561</xdr:rowOff>
    </xdr:to>
    <xdr:pic>
      <xdr:nvPicPr>
        <xdr:cNvPr id="7" name="Picture 100" descr="acafai_symbols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24536" y="11667565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154642</xdr:colOff>
      <xdr:row>56</xdr:row>
      <xdr:rowOff>20170</xdr:rowOff>
    </xdr:from>
    <xdr:to>
      <xdr:col>2</xdr:col>
      <xdr:colOff>392767</xdr:colOff>
      <xdr:row>57</xdr:row>
      <xdr:rowOff>7283</xdr:rowOff>
    </xdr:to>
    <xdr:pic>
      <xdr:nvPicPr>
        <xdr:cNvPr id="8" name="Picture 100" descr="acafai_symbols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20054" y="12313023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2" name="Picture 1" descr="acafai_symbols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3500" y="0"/>
          <a:ext cx="2381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3" name="Picture 2" descr="acafai_symbols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25" r="75517" b="16667"/>
        <a:stretch>
          <a:fillRect/>
        </a:stretch>
      </xdr:blipFill>
      <xdr:spPr bwMode="auto">
        <a:xfrm>
          <a:off x="1295400" y="0"/>
          <a:ext cx="266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66675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4" name="Picture 5" descr="acafai_symbols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172" t="-6667" r="12070" b="13333"/>
        <a:stretch>
          <a:fillRect/>
        </a:stretch>
      </xdr:blipFill>
      <xdr:spPr bwMode="auto">
        <a:xfrm>
          <a:off x="1285875" y="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5" name="Picture 6" descr="acafai_symbols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585"/>
        <a:stretch>
          <a:fillRect/>
        </a:stretch>
      </xdr:blipFill>
      <xdr:spPr bwMode="auto">
        <a:xfrm>
          <a:off x="1314450" y="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381000</xdr:colOff>
      <xdr:row>0</xdr:row>
      <xdr:rowOff>0</xdr:rowOff>
    </xdr:to>
    <xdr:pic>
      <xdr:nvPicPr>
        <xdr:cNvPr id="6" name="Picture 8" descr="acafai_symbols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94" t="6667" r="53104" b="13333"/>
        <a:stretch>
          <a:fillRect/>
        </a:stretch>
      </xdr:blipFill>
      <xdr:spPr bwMode="auto">
        <a:xfrm>
          <a:off x="1304925" y="0"/>
          <a:ext cx="295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276225</xdr:colOff>
      <xdr:row>0</xdr:row>
      <xdr:rowOff>0</xdr:rowOff>
    </xdr:to>
    <xdr:pic>
      <xdr:nvPicPr>
        <xdr:cNvPr id="7" name="Picture 10" descr="acafai_symbols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0785" b="6667"/>
        <a:stretch>
          <a:fillRect/>
        </a:stretch>
      </xdr:blipFill>
      <xdr:spPr bwMode="auto">
        <a:xfrm>
          <a:off x="1314450" y="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8" name="Picture 12" descr="acafai_symbols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5" r="76109"/>
        <a:stretch>
          <a:fillRect/>
        </a:stretch>
      </xdr:blipFill>
      <xdr:spPr bwMode="auto">
        <a:xfrm>
          <a:off x="1266825" y="0"/>
          <a:ext cx="304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9" name="Picture 14" descr="acafai_symbols2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304800</xdr:colOff>
      <xdr:row>0</xdr:row>
      <xdr:rowOff>0</xdr:rowOff>
    </xdr:to>
    <xdr:pic>
      <xdr:nvPicPr>
        <xdr:cNvPr id="10" name="Picture 16" descr="acafai_symbols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15" t="-10001" r="12970" b="-3334"/>
        <a:stretch>
          <a:fillRect/>
        </a:stretch>
      </xdr:blipFill>
      <xdr:spPr bwMode="auto">
        <a:xfrm>
          <a:off x="1314450" y="0"/>
          <a:ext cx="209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285750</xdr:colOff>
      <xdr:row>0</xdr:row>
      <xdr:rowOff>0</xdr:rowOff>
    </xdr:to>
    <xdr:pic>
      <xdr:nvPicPr>
        <xdr:cNvPr id="11" name="Picture 17" descr="acafai_symbols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386" t="-16667" r="31058" b="3334"/>
        <a:stretch>
          <a:fillRect/>
        </a:stretch>
      </xdr:blipFill>
      <xdr:spPr bwMode="auto">
        <a:xfrm>
          <a:off x="1304925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12" name="Picture 18" descr="acafai_symbols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513" t="-3334" r="39931" b="6667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333375</xdr:colOff>
      <xdr:row>0</xdr:row>
      <xdr:rowOff>0</xdr:rowOff>
    </xdr:to>
    <xdr:pic>
      <xdr:nvPicPr>
        <xdr:cNvPr id="13" name="Picture 19" descr="acafai_symbols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0"/>
          <a:ext cx="219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14" name="Picture 21" descr="acafai_symbols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3500" y="0"/>
          <a:ext cx="2381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15" name="Picture 22" descr="acafai_symbols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25" r="75517" b="16667"/>
        <a:stretch>
          <a:fillRect/>
        </a:stretch>
      </xdr:blipFill>
      <xdr:spPr bwMode="auto">
        <a:xfrm>
          <a:off x="1295400" y="0"/>
          <a:ext cx="266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66675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16" name="Picture 25" descr="acafai_symbols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172" t="-6667" r="12070" b="13333"/>
        <a:stretch>
          <a:fillRect/>
        </a:stretch>
      </xdr:blipFill>
      <xdr:spPr bwMode="auto">
        <a:xfrm>
          <a:off x="1285875" y="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17" name="Picture 26" descr="acafai_symbols1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585"/>
        <a:stretch>
          <a:fillRect/>
        </a:stretch>
      </xdr:blipFill>
      <xdr:spPr bwMode="auto">
        <a:xfrm>
          <a:off x="1314450" y="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381000</xdr:colOff>
      <xdr:row>0</xdr:row>
      <xdr:rowOff>0</xdr:rowOff>
    </xdr:to>
    <xdr:pic>
      <xdr:nvPicPr>
        <xdr:cNvPr id="18" name="Picture 28" descr="acafai_symbols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94" t="6667" r="53104" b="13333"/>
        <a:stretch>
          <a:fillRect/>
        </a:stretch>
      </xdr:blipFill>
      <xdr:spPr bwMode="auto">
        <a:xfrm>
          <a:off x="1304925" y="0"/>
          <a:ext cx="295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276225</xdr:colOff>
      <xdr:row>0</xdr:row>
      <xdr:rowOff>0</xdr:rowOff>
    </xdr:to>
    <xdr:pic>
      <xdr:nvPicPr>
        <xdr:cNvPr id="19" name="Picture 30" descr="acafai_symbols2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0785" b="6667"/>
        <a:stretch>
          <a:fillRect/>
        </a:stretch>
      </xdr:blipFill>
      <xdr:spPr bwMode="auto">
        <a:xfrm>
          <a:off x="1314450" y="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20" name="Picture 32" descr="acafai_symbols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5" r="76109"/>
        <a:stretch>
          <a:fillRect/>
        </a:stretch>
      </xdr:blipFill>
      <xdr:spPr bwMode="auto">
        <a:xfrm>
          <a:off x="1266825" y="0"/>
          <a:ext cx="304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21" name="Picture 34" descr="acafai_symbols2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304800</xdr:colOff>
      <xdr:row>0</xdr:row>
      <xdr:rowOff>0</xdr:rowOff>
    </xdr:to>
    <xdr:pic>
      <xdr:nvPicPr>
        <xdr:cNvPr id="22" name="Picture 36" descr="acafai_symbols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15" t="-10001" r="12970" b="-3334"/>
        <a:stretch>
          <a:fillRect/>
        </a:stretch>
      </xdr:blipFill>
      <xdr:spPr bwMode="auto">
        <a:xfrm>
          <a:off x="1314450" y="0"/>
          <a:ext cx="209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285750</xdr:colOff>
      <xdr:row>0</xdr:row>
      <xdr:rowOff>0</xdr:rowOff>
    </xdr:to>
    <xdr:pic>
      <xdr:nvPicPr>
        <xdr:cNvPr id="23" name="Picture 37" descr="acafai_symbols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386" t="-16667" r="31058" b="3334"/>
        <a:stretch>
          <a:fillRect/>
        </a:stretch>
      </xdr:blipFill>
      <xdr:spPr bwMode="auto">
        <a:xfrm>
          <a:off x="1304925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24" name="Picture 38" descr="acafai_symbols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513" t="-3334" r="39931" b="6667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333375</xdr:colOff>
      <xdr:row>0</xdr:row>
      <xdr:rowOff>0</xdr:rowOff>
    </xdr:to>
    <xdr:pic>
      <xdr:nvPicPr>
        <xdr:cNvPr id="25" name="Picture 39" descr="acafai_symbols2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0"/>
          <a:ext cx="219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26" name="Picture 64" descr="acafai_symbols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3500" y="0"/>
          <a:ext cx="2381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27" name="Picture 65" descr="acafai_symbols1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25" r="75517" b="16667"/>
        <a:stretch>
          <a:fillRect/>
        </a:stretch>
      </xdr:blipFill>
      <xdr:spPr bwMode="auto">
        <a:xfrm>
          <a:off x="1295400" y="0"/>
          <a:ext cx="266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66675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28" name="Picture 66" descr="acafai_symbols1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172" t="-6667" r="12070" b="13333"/>
        <a:stretch>
          <a:fillRect/>
        </a:stretch>
      </xdr:blipFill>
      <xdr:spPr bwMode="auto">
        <a:xfrm>
          <a:off x="1285875" y="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29" name="Picture 67" descr="acafai_symbols1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585"/>
        <a:stretch>
          <a:fillRect/>
        </a:stretch>
      </xdr:blipFill>
      <xdr:spPr bwMode="auto">
        <a:xfrm>
          <a:off x="1314450" y="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381000</xdr:colOff>
      <xdr:row>0</xdr:row>
      <xdr:rowOff>0</xdr:rowOff>
    </xdr:to>
    <xdr:pic>
      <xdr:nvPicPr>
        <xdr:cNvPr id="30" name="Picture 68" descr="acafai_symbols1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94" t="6667" r="53104" b="13333"/>
        <a:stretch>
          <a:fillRect/>
        </a:stretch>
      </xdr:blipFill>
      <xdr:spPr bwMode="auto">
        <a:xfrm>
          <a:off x="1304925" y="0"/>
          <a:ext cx="295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276225</xdr:colOff>
      <xdr:row>0</xdr:row>
      <xdr:rowOff>0</xdr:rowOff>
    </xdr:to>
    <xdr:pic>
      <xdr:nvPicPr>
        <xdr:cNvPr id="31" name="Picture 69" descr="acafai_symbols2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0785" b="6667"/>
        <a:stretch>
          <a:fillRect/>
        </a:stretch>
      </xdr:blipFill>
      <xdr:spPr bwMode="auto">
        <a:xfrm>
          <a:off x="1314450" y="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32" name="Picture 70" descr="acafai_symbols2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5" r="76109"/>
        <a:stretch>
          <a:fillRect/>
        </a:stretch>
      </xdr:blipFill>
      <xdr:spPr bwMode="auto">
        <a:xfrm>
          <a:off x="1266825" y="0"/>
          <a:ext cx="304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33" name="Picture 71" descr="acafai_symbols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304800</xdr:colOff>
      <xdr:row>0</xdr:row>
      <xdr:rowOff>0</xdr:rowOff>
    </xdr:to>
    <xdr:pic>
      <xdr:nvPicPr>
        <xdr:cNvPr id="34" name="Picture 72" descr="acafai_symbols2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15" t="-10001" r="12970" b="-3334"/>
        <a:stretch>
          <a:fillRect/>
        </a:stretch>
      </xdr:blipFill>
      <xdr:spPr bwMode="auto">
        <a:xfrm>
          <a:off x="1314450" y="0"/>
          <a:ext cx="209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285750</xdr:colOff>
      <xdr:row>0</xdr:row>
      <xdr:rowOff>0</xdr:rowOff>
    </xdr:to>
    <xdr:pic>
      <xdr:nvPicPr>
        <xdr:cNvPr id="35" name="Picture 73" descr="acafai_symbols2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386" t="-16667" r="31058" b="3334"/>
        <a:stretch>
          <a:fillRect/>
        </a:stretch>
      </xdr:blipFill>
      <xdr:spPr bwMode="auto">
        <a:xfrm>
          <a:off x="1304925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36" name="Picture 74" descr="acafai_symbols2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513" t="-3334" r="39931" b="6667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333375</xdr:colOff>
      <xdr:row>0</xdr:row>
      <xdr:rowOff>0</xdr:rowOff>
    </xdr:to>
    <xdr:pic>
      <xdr:nvPicPr>
        <xdr:cNvPr id="37" name="Picture 75" descr="acafai_symbols2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0"/>
          <a:ext cx="219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38" name="Picture 76" descr="acafai_symbols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3500" y="0"/>
          <a:ext cx="2381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39" name="Picture 77" descr="acafai_symbols1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25" r="75517" b="16667"/>
        <a:stretch>
          <a:fillRect/>
        </a:stretch>
      </xdr:blipFill>
      <xdr:spPr bwMode="auto">
        <a:xfrm>
          <a:off x="1295400" y="0"/>
          <a:ext cx="266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66675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40" name="Picture 78" descr="acafai_symbols1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172" t="-6667" r="12070" b="13333"/>
        <a:stretch>
          <a:fillRect/>
        </a:stretch>
      </xdr:blipFill>
      <xdr:spPr bwMode="auto">
        <a:xfrm>
          <a:off x="1285875" y="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342900</xdr:colOff>
      <xdr:row>0</xdr:row>
      <xdr:rowOff>0</xdr:rowOff>
    </xdr:to>
    <xdr:pic>
      <xdr:nvPicPr>
        <xdr:cNvPr id="41" name="Picture 79" descr="acafai_symbols1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585"/>
        <a:stretch>
          <a:fillRect/>
        </a:stretch>
      </xdr:blipFill>
      <xdr:spPr bwMode="auto">
        <a:xfrm>
          <a:off x="1314450" y="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381000</xdr:colOff>
      <xdr:row>0</xdr:row>
      <xdr:rowOff>0</xdr:rowOff>
    </xdr:to>
    <xdr:pic>
      <xdr:nvPicPr>
        <xdr:cNvPr id="42" name="Picture 80" descr="acafai_symbols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94" t="6667" r="53104" b="13333"/>
        <a:stretch>
          <a:fillRect/>
        </a:stretch>
      </xdr:blipFill>
      <xdr:spPr bwMode="auto">
        <a:xfrm>
          <a:off x="1304925" y="0"/>
          <a:ext cx="295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276225</xdr:colOff>
      <xdr:row>0</xdr:row>
      <xdr:rowOff>0</xdr:rowOff>
    </xdr:to>
    <xdr:pic>
      <xdr:nvPicPr>
        <xdr:cNvPr id="43" name="Picture 81" descr="acafai_symbols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0785" b="6667"/>
        <a:stretch>
          <a:fillRect/>
        </a:stretch>
      </xdr:blipFill>
      <xdr:spPr bwMode="auto">
        <a:xfrm>
          <a:off x="1314450" y="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0</xdr:row>
      <xdr:rowOff>0</xdr:rowOff>
    </xdr:from>
    <xdr:to>
      <xdr:col>2</xdr:col>
      <xdr:colOff>352425</xdr:colOff>
      <xdr:row>0</xdr:row>
      <xdr:rowOff>0</xdr:rowOff>
    </xdr:to>
    <xdr:pic>
      <xdr:nvPicPr>
        <xdr:cNvPr id="44" name="Picture 82" descr="acafai_symbols2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5" r="76109"/>
        <a:stretch>
          <a:fillRect/>
        </a:stretch>
      </xdr:blipFill>
      <xdr:spPr bwMode="auto">
        <a:xfrm>
          <a:off x="1266825" y="0"/>
          <a:ext cx="304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45" name="Picture 83" descr="acafai_symbols2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304800</xdr:colOff>
      <xdr:row>0</xdr:row>
      <xdr:rowOff>0</xdr:rowOff>
    </xdr:to>
    <xdr:pic>
      <xdr:nvPicPr>
        <xdr:cNvPr id="46" name="Picture 84" descr="acafai_symbols2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15" t="-10001" r="12970" b="-3334"/>
        <a:stretch>
          <a:fillRect/>
        </a:stretch>
      </xdr:blipFill>
      <xdr:spPr bwMode="auto">
        <a:xfrm>
          <a:off x="1314450" y="0"/>
          <a:ext cx="209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0</xdr:row>
      <xdr:rowOff>0</xdr:rowOff>
    </xdr:from>
    <xdr:to>
      <xdr:col>2</xdr:col>
      <xdr:colOff>285750</xdr:colOff>
      <xdr:row>0</xdr:row>
      <xdr:rowOff>0</xdr:rowOff>
    </xdr:to>
    <xdr:pic>
      <xdr:nvPicPr>
        <xdr:cNvPr id="47" name="Picture 85" descr="acafai_symbols2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386" t="-16667" r="31058" b="3334"/>
        <a:stretch>
          <a:fillRect/>
        </a:stretch>
      </xdr:blipFill>
      <xdr:spPr bwMode="auto">
        <a:xfrm>
          <a:off x="1304925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295275</xdr:colOff>
      <xdr:row>0</xdr:row>
      <xdr:rowOff>0</xdr:rowOff>
    </xdr:to>
    <xdr:pic>
      <xdr:nvPicPr>
        <xdr:cNvPr id="48" name="Picture 86" descr="acafai_symbols2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513" t="-3334" r="39931" b="6667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0</xdr:row>
      <xdr:rowOff>0</xdr:rowOff>
    </xdr:from>
    <xdr:to>
      <xdr:col>2</xdr:col>
      <xdr:colOff>333375</xdr:colOff>
      <xdr:row>0</xdr:row>
      <xdr:rowOff>0</xdr:rowOff>
    </xdr:to>
    <xdr:pic>
      <xdr:nvPicPr>
        <xdr:cNvPr id="49" name="Picture 87" descr="acafai_symbols2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0"/>
          <a:ext cx="219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2</xdr:row>
      <xdr:rowOff>19050</xdr:rowOff>
    </xdr:from>
    <xdr:to>
      <xdr:col>2</xdr:col>
      <xdr:colOff>352425</xdr:colOff>
      <xdr:row>3</xdr:row>
      <xdr:rowOff>9525</xdr:rowOff>
    </xdr:to>
    <xdr:pic>
      <xdr:nvPicPr>
        <xdr:cNvPr id="50" name="Picture 88" descr="acafai_symbols1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3500" y="342900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76200</xdr:colOff>
      <xdr:row>3</xdr:row>
      <xdr:rowOff>9525</xdr:rowOff>
    </xdr:from>
    <xdr:to>
      <xdr:col>2</xdr:col>
      <xdr:colOff>342900</xdr:colOff>
      <xdr:row>3</xdr:row>
      <xdr:rowOff>190500</xdr:rowOff>
    </xdr:to>
    <xdr:pic>
      <xdr:nvPicPr>
        <xdr:cNvPr id="51" name="Picture 89" descr="acafai_symbols1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25" r="75517" b="16667"/>
        <a:stretch>
          <a:fillRect/>
        </a:stretch>
      </xdr:blipFill>
      <xdr:spPr bwMode="auto">
        <a:xfrm>
          <a:off x="1295400" y="542925"/>
          <a:ext cx="2667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66675</xdr:colOff>
      <xdr:row>8</xdr:row>
      <xdr:rowOff>180975</xdr:rowOff>
    </xdr:from>
    <xdr:to>
      <xdr:col>2</xdr:col>
      <xdr:colOff>342900</xdr:colOff>
      <xdr:row>9</xdr:row>
      <xdr:rowOff>180975</xdr:rowOff>
    </xdr:to>
    <xdr:pic>
      <xdr:nvPicPr>
        <xdr:cNvPr id="52" name="Picture 90" descr="acafai_symbols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172" t="-6667" r="12070" b="13333"/>
        <a:stretch>
          <a:fillRect/>
        </a:stretch>
      </xdr:blipFill>
      <xdr:spPr bwMode="auto">
        <a:xfrm>
          <a:off x="1285875" y="1838325"/>
          <a:ext cx="2762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10</xdr:row>
      <xdr:rowOff>0</xdr:rowOff>
    </xdr:from>
    <xdr:to>
      <xdr:col>2</xdr:col>
      <xdr:colOff>342900</xdr:colOff>
      <xdr:row>11</xdr:row>
      <xdr:rowOff>0</xdr:rowOff>
    </xdr:to>
    <xdr:pic>
      <xdr:nvPicPr>
        <xdr:cNvPr id="53" name="Picture 91" descr="acafai_symbols1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585"/>
        <a:stretch>
          <a:fillRect/>
        </a:stretch>
      </xdr:blipFill>
      <xdr:spPr bwMode="auto">
        <a:xfrm>
          <a:off x="1314450" y="2076450"/>
          <a:ext cx="2476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5</xdr:row>
      <xdr:rowOff>9525</xdr:rowOff>
    </xdr:from>
    <xdr:to>
      <xdr:col>2</xdr:col>
      <xdr:colOff>381000</xdr:colOff>
      <xdr:row>5</xdr:row>
      <xdr:rowOff>200025</xdr:rowOff>
    </xdr:to>
    <xdr:pic>
      <xdr:nvPicPr>
        <xdr:cNvPr id="54" name="Picture 92" descr="acafai_symbols1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94" t="6667" r="53104" b="13333"/>
        <a:stretch>
          <a:fillRect/>
        </a:stretch>
      </xdr:blipFill>
      <xdr:spPr bwMode="auto">
        <a:xfrm>
          <a:off x="1304925" y="1000125"/>
          <a:ext cx="2952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10</xdr:row>
      <xdr:rowOff>200025</xdr:rowOff>
    </xdr:from>
    <xdr:to>
      <xdr:col>2</xdr:col>
      <xdr:colOff>276225</xdr:colOff>
      <xdr:row>11</xdr:row>
      <xdr:rowOff>180975</xdr:rowOff>
    </xdr:to>
    <xdr:pic>
      <xdr:nvPicPr>
        <xdr:cNvPr id="55" name="Picture 93" descr="acafai_symbols2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0785" b="6667"/>
        <a:stretch>
          <a:fillRect/>
        </a:stretch>
      </xdr:blipFill>
      <xdr:spPr bwMode="auto">
        <a:xfrm>
          <a:off x="1314450" y="2276475"/>
          <a:ext cx="1809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11</xdr:row>
      <xdr:rowOff>190500</xdr:rowOff>
    </xdr:from>
    <xdr:to>
      <xdr:col>2</xdr:col>
      <xdr:colOff>352425</xdr:colOff>
      <xdr:row>12</xdr:row>
      <xdr:rowOff>190500</xdr:rowOff>
    </xdr:to>
    <xdr:pic>
      <xdr:nvPicPr>
        <xdr:cNvPr id="56" name="Picture 94" descr="acafai_symbols2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5" r="76109"/>
        <a:stretch>
          <a:fillRect/>
        </a:stretch>
      </xdr:blipFill>
      <xdr:spPr bwMode="auto">
        <a:xfrm>
          <a:off x="1266825" y="2476500"/>
          <a:ext cx="3048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18</xdr:row>
      <xdr:rowOff>0</xdr:rowOff>
    </xdr:from>
    <xdr:to>
      <xdr:col>2</xdr:col>
      <xdr:colOff>295275</xdr:colOff>
      <xdr:row>19</xdr:row>
      <xdr:rowOff>9525</xdr:rowOff>
    </xdr:to>
    <xdr:pic>
      <xdr:nvPicPr>
        <xdr:cNvPr id="57" name="Picture 95" descr="acafai_symbols2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3790950"/>
          <a:ext cx="2000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18</xdr:row>
      <xdr:rowOff>171450</xdr:rowOff>
    </xdr:from>
    <xdr:to>
      <xdr:col>2</xdr:col>
      <xdr:colOff>304800</xdr:colOff>
      <xdr:row>20</xdr:row>
      <xdr:rowOff>19050</xdr:rowOff>
    </xdr:to>
    <xdr:pic>
      <xdr:nvPicPr>
        <xdr:cNvPr id="58" name="Picture 96" descr="acafai_symbols2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15" t="-10001" r="12970" b="-3334"/>
        <a:stretch>
          <a:fillRect/>
        </a:stretch>
      </xdr:blipFill>
      <xdr:spPr bwMode="auto">
        <a:xfrm>
          <a:off x="1314450" y="3962400"/>
          <a:ext cx="2095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16</xdr:row>
      <xdr:rowOff>171450</xdr:rowOff>
    </xdr:from>
    <xdr:to>
      <xdr:col>2</xdr:col>
      <xdr:colOff>285750</xdr:colOff>
      <xdr:row>17</xdr:row>
      <xdr:rowOff>200025</xdr:rowOff>
    </xdr:to>
    <xdr:pic>
      <xdr:nvPicPr>
        <xdr:cNvPr id="59" name="Picture 97" descr="acafai_symbols2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386" t="-16667" r="31058" b="3334"/>
        <a:stretch>
          <a:fillRect/>
        </a:stretch>
      </xdr:blipFill>
      <xdr:spPr bwMode="auto">
        <a:xfrm>
          <a:off x="1304925" y="3543300"/>
          <a:ext cx="2000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16</xdr:row>
      <xdr:rowOff>0</xdr:rowOff>
    </xdr:from>
    <xdr:to>
      <xdr:col>2</xdr:col>
      <xdr:colOff>295275</xdr:colOff>
      <xdr:row>17</xdr:row>
      <xdr:rowOff>0</xdr:rowOff>
    </xdr:to>
    <xdr:pic>
      <xdr:nvPicPr>
        <xdr:cNvPr id="60" name="Picture 98" descr="acafai_symbols2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513" t="-3334" r="39931" b="6667"/>
        <a:stretch>
          <a:fillRect/>
        </a:stretch>
      </xdr:blipFill>
      <xdr:spPr bwMode="auto">
        <a:xfrm>
          <a:off x="1314450" y="3371850"/>
          <a:ext cx="2000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15</xdr:row>
      <xdr:rowOff>0</xdr:rowOff>
    </xdr:from>
    <xdr:to>
      <xdr:col>2</xdr:col>
      <xdr:colOff>333375</xdr:colOff>
      <xdr:row>15</xdr:row>
      <xdr:rowOff>200025</xdr:rowOff>
    </xdr:to>
    <xdr:pic>
      <xdr:nvPicPr>
        <xdr:cNvPr id="61" name="Picture 99" descr="acafai_symbols2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3162300"/>
          <a:ext cx="2190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2</xdr:row>
      <xdr:rowOff>19050</xdr:rowOff>
    </xdr:from>
    <xdr:to>
      <xdr:col>2</xdr:col>
      <xdr:colOff>352425</xdr:colOff>
      <xdr:row>3</xdr:row>
      <xdr:rowOff>9525</xdr:rowOff>
    </xdr:to>
    <xdr:pic>
      <xdr:nvPicPr>
        <xdr:cNvPr id="62" name="Picture 100" descr="acafai_symbols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85"/>
        <a:stretch>
          <a:fillRect/>
        </a:stretch>
      </xdr:blipFill>
      <xdr:spPr bwMode="auto">
        <a:xfrm>
          <a:off x="1333500" y="342900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76200</xdr:colOff>
      <xdr:row>3</xdr:row>
      <xdr:rowOff>9525</xdr:rowOff>
    </xdr:from>
    <xdr:to>
      <xdr:col>2</xdr:col>
      <xdr:colOff>342900</xdr:colOff>
      <xdr:row>3</xdr:row>
      <xdr:rowOff>190500</xdr:rowOff>
    </xdr:to>
    <xdr:pic>
      <xdr:nvPicPr>
        <xdr:cNvPr id="63" name="Picture 101" descr="acafai_symbols1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25" r="75517" b="16667"/>
        <a:stretch>
          <a:fillRect/>
        </a:stretch>
      </xdr:blipFill>
      <xdr:spPr bwMode="auto">
        <a:xfrm>
          <a:off x="1295400" y="542925"/>
          <a:ext cx="2667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66675</xdr:colOff>
      <xdr:row>8</xdr:row>
      <xdr:rowOff>180975</xdr:rowOff>
    </xdr:from>
    <xdr:to>
      <xdr:col>2</xdr:col>
      <xdr:colOff>342900</xdr:colOff>
      <xdr:row>9</xdr:row>
      <xdr:rowOff>180975</xdr:rowOff>
    </xdr:to>
    <xdr:pic>
      <xdr:nvPicPr>
        <xdr:cNvPr id="64" name="Picture 102" descr="acafai_symbols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172" t="-6667" r="12070" b="13333"/>
        <a:stretch>
          <a:fillRect/>
        </a:stretch>
      </xdr:blipFill>
      <xdr:spPr bwMode="auto">
        <a:xfrm>
          <a:off x="1285875" y="1838325"/>
          <a:ext cx="2762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10</xdr:row>
      <xdr:rowOff>0</xdr:rowOff>
    </xdr:from>
    <xdr:to>
      <xdr:col>2</xdr:col>
      <xdr:colOff>342900</xdr:colOff>
      <xdr:row>11</xdr:row>
      <xdr:rowOff>0</xdr:rowOff>
    </xdr:to>
    <xdr:pic>
      <xdr:nvPicPr>
        <xdr:cNvPr id="65" name="Picture 103" descr="acafai_symbols1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585"/>
        <a:stretch>
          <a:fillRect/>
        </a:stretch>
      </xdr:blipFill>
      <xdr:spPr bwMode="auto">
        <a:xfrm>
          <a:off x="1314450" y="2076450"/>
          <a:ext cx="2476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5</xdr:row>
      <xdr:rowOff>9525</xdr:rowOff>
    </xdr:from>
    <xdr:to>
      <xdr:col>2</xdr:col>
      <xdr:colOff>381000</xdr:colOff>
      <xdr:row>5</xdr:row>
      <xdr:rowOff>200025</xdr:rowOff>
    </xdr:to>
    <xdr:pic>
      <xdr:nvPicPr>
        <xdr:cNvPr id="66" name="Picture 104" descr="acafai_symbols1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94" t="6667" r="53104" b="13333"/>
        <a:stretch>
          <a:fillRect/>
        </a:stretch>
      </xdr:blipFill>
      <xdr:spPr bwMode="auto">
        <a:xfrm>
          <a:off x="1304925" y="1000125"/>
          <a:ext cx="2952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10</xdr:row>
      <xdr:rowOff>200025</xdr:rowOff>
    </xdr:from>
    <xdr:to>
      <xdr:col>2</xdr:col>
      <xdr:colOff>276225</xdr:colOff>
      <xdr:row>11</xdr:row>
      <xdr:rowOff>180975</xdr:rowOff>
    </xdr:to>
    <xdr:pic>
      <xdr:nvPicPr>
        <xdr:cNvPr id="67" name="Picture 105" descr="acafai_symbols2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0785" b="6667"/>
        <a:stretch>
          <a:fillRect/>
        </a:stretch>
      </xdr:blipFill>
      <xdr:spPr bwMode="auto">
        <a:xfrm>
          <a:off x="1314450" y="2276475"/>
          <a:ext cx="1809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11</xdr:row>
      <xdr:rowOff>190500</xdr:rowOff>
    </xdr:from>
    <xdr:to>
      <xdr:col>2</xdr:col>
      <xdr:colOff>352425</xdr:colOff>
      <xdr:row>12</xdr:row>
      <xdr:rowOff>190500</xdr:rowOff>
    </xdr:to>
    <xdr:pic>
      <xdr:nvPicPr>
        <xdr:cNvPr id="68" name="Picture 106" descr="acafai_symbols2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15" r="76109"/>
        <a:stretch>
          <a:fillRect/>
        </a:stretch>
      </xdr:blipFill>
      <xdr:spPr bwMode="auto">
        <a:xfrm>
          <a:off x="1266825" y="2476500"/>
          <a:ext cx="3048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18</xdr:row>
      <xdr:rowOff>0</xdr:rowOff>
    </xdr:from>
    <xdr:to>
      <xdr:col>2</xdr:col>
      <xdr:colOff>295275</xdr:colOff>
      <xdr:row>19</xdr:row>
      <xdr:rowOff>9525</xdr:rowOff>
    </xdr:to>
    <xdr:pic>
      <xdr:nvPicPr>
        <xdr:cNvPr id="69" name="Picture 107" descr="acafai_symbols2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3790950"/>
          <a:ext cx="2000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18</xdr:row>
      <xdr:rowOff>171450</xdr:rowOff>
    </xdr:from>
    <xdr:to>
      <xdr:col>2</xdr:col>
      <xdr:colOff>304800</xdr:colOff>
      <xdr:row>20</xdr:row>
      <xdr:rowOff>19050</xdr:rowOff>
    </xdr:to>
    <xdr:pic>
      <xdr:nvPicPr>
        <xdr:cNvPr id="70" name="Picture 108" descr="acafai_symbols2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15" t="-10001" r="12970" b="-3334"/>
        <a:stretch>
          <a:fillRect/>
        </a:stretch>
      </xdr:blipFill>
      <xdr:spPr bwMode="auto">
        <a:xfrm>
          <a:off x="1314450" y="3962400"/>
          <a:ext cx="2095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85725</xdr:colOff>
      <xdr:row>16</xdr:row>
      <xdr:rowOff>171450</xdr:rowOff>
    </xdr:from>
    <xdr:to>
      <xdr:col>2</xdr:col>
      <xdr:colOff>285750</xdr:colOff>
      <xdr:row>17</xdr:row>
      <xdr:rowOff>200025</xdr:rowOff>
    </xdr:to>
    <xdr:pic>
      <xdr:nvPicPr>
        <xdr:cNvPr id="71" name="Picture 109" descr="acafai_symbols2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386" t="-16667" r="31058" b="3334"/>
        <a:stretch>
          <a:fillRect/>
        </a:stretch>
      </xdr:blipFill>
      <xdr:spPr bwMode="auto">
        <a:xfrm>
          <a:off x="1304925" y="3543300"/>
          <a:ext cx="2000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16</xdr:row>
      <xdr:rowOff>0</xdr:rowOff>
    </xdr:from>
    <xdr:to>
      <xdr:col>2</xdr:col>
      <xdr:colOff>295275</xdr:colOff>
      <xdr:row>17</xdr:row>
      <xdr:rowOff>0</xdr:rowOff>
    </xdr:to>
    <xdr:pic>
      <xdr:nvPicPr>
        <xdr:cNvPr id="72" name="Picture 110" descr="acafai_symbols2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513" t="-3334" r="39931" b="6667"/>
        <a:stretch>
          <a:fillRect/>
        </a:stretch>
      </xdr:blipFill>
      <xdr:spPr bwMode="auto">
        <a:xfrm>
          <a:off x="1314450" y="3371850"/>
          <a:ext cx="2000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15</xdr:row>
      <xdr:rowOff>0</xdr:rowOff>
    </xdr:from>
    <xdr:to>
      <xdr:col>2</xdr:col>
      <xdr:colOff>333375</xdr:colOff>
      <xdr:row>15</xdr:row>
      <xdr:rowOff>200025</xdr:rowOff>
    </xdr:to>
    <xdr:pic>
      <xdr:nvPicPr>
        <xdr:cNvPr id="73" name="Picture 111" descr="acafai_symbols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3162300"/>
          <a:ext cx="2190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323850</xdr:colOff>
      <xdr:row>34</xdr:row>
      <xdr:rowOff>123825</xdr:rowOff>
    </xdr:from>
    <xdr:to>
      <xdr:col>8</xdr:col>
      <xdr:colOff>638175</xdr:colOff>
      <xdr:row>38</xdr:row>
      <xdr:rowOff>152400</xdr:rowOff>
    </xdr:to>
    <xdr:sp macro="" textlink="">
      <xdr:nvSpPr>
        <xdr:cNvPr id="74" name="AutoShape 112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>
          <a:spLocks noChangeArrowheads="1"/>
        </xdr:cNvSpPr>
      </xdr:nvSpPr>
      <xdr:spPr bwMode="auto">
        <a:xfrm>
          <a:off x="4591050" y="7277100"/>
          <a:ext cx="923925" cy="695325"/>
        </a:xfrm>
        <a:prstGeom prst="wedgeRectCallout">
          <a:avLst>
            <a:gd name="adj1" fmla="val -77833"/>
            <a:gd name="adj2" fmla="val 55481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altLang="zh-TW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GO </a:t>
          </a:r>
        </a:p>
        <a:p>
          <a:pPr algn="l" rtl="0">
            <a:defRPr sz="1000"/>
          </a:pPr>
          <a:r>
            <a:rPr lang="en-US" altLang="zh-TW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GO NG</a:t>
          </a:r>
        </a:p>
        <a:p>
          <a:pPr algn="l" rtl="0">
            <a:defRPr sz="1000"/>
          </a:pPr>
          <a:r>
            <a:rPr lang="en-US" altLang="zh-TW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NO GO</a:t>
          </a:r>
        </a:p>
      </xdr:txBody>
    </xdr:sp>
    <xdr:clientData/>
  </xdr:twoCellAnchor>
  <xdr:twoCellAnchor>
    <xdr:from>
      <xdr:col>7</xdr:col>
      <xdr:colOff>323850</xdr:colOff>
      <xdr:row>41</xdr:row>
      <xdr:rowOff>123825</xdr:rowOff>
    </xdr:from>
    <xdr:to>
      <xdr:col>8</xdr:col>
      <xdr:colOff>104775</xdr:colOff>
      <xdr:row>44</xdr:row>
      <xdr:rowOff>47625</xdr:rowOff>
    </xdr:to>
    <xdr:sp macro="" textlink="">
      <xdr:nvSpPr>
        <xdr:cNvPr id="75" name="AutoShape 113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>
          <a:spLocks noChangeArrowheads="1"/>
        </xdr:cNvSpPr>
      </xdr:nvSpPr>
      <xdr:spPr bwMode="auto">
        <a:xfrm>
          <a:off x="4591050" y="8477250"/>
          <a:ext cx="390525" cy="457200"/>
        </a:xfrm>
        <a:prstGeom prst="wedgeRectCallout">
          <a:avLst>
            <a:gd name="adj1" fmla="val -137806"/>
            <a:gd name="adj2" fmla="val -20833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altLang="zh-TW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OK</a:t>
          </a:r>
        </a:p>
        <a:p>
          <a:pPr algn="l" rtl="0">
            <a:defRPr sz="1000"/>
          </a:pPr>
          <a:r>
            <a:rPr lang="en-US" altLang="zh-TW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NG</a:t>
          </a:r>
        </a:p>
      </xdr:txBody>
    </xdr:sp>
    <xdr:clientData/>
  </xdr:twoCellAnchor>
  <xdr:twoCellAnchor editAs="oneCell">
    <xdr:from>
      <xdr:col>11</xdr:col>
      <xdr:colOff>28575</xdr:colOff>
      <xdr:row>29</xdr:row>
      <xdr:rowOff>28575</xdr:rowOff>
    </xdr:from>
    <xdr:to>
      <xdr:col>12</xdr:col>
      <xdr:colOff>281267</xdr:colOff>
      <xdr:row>32</xdr:row>
      <xdr:rowOff>95250</xdr:rowOff>
    </xdr:to>
    <xdr:pic>
      <xdr:nvPicPr>
        <xdr:cNvPr id="76" name="圖片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48725" y="6257925"/>
          <a:ext cx="1224242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485775</xdr:colOff>
      <xdr:row>27</xdr:row>
      <xdr:rowOff>42358</xdr:rowOff>
    </xdr:from>
    <xdr:to>
      <xdr:col>16</xdr:col>
      <xdr:colOff>0</xdr:colOff>
      <xdr:row>33</xdr:row>
      <xdr:rowOff>47987</xdr:rowOff>
    </xdr:to>
    <xdr:pic>
      <xdr:nvPicPr>
        <xdr:cNvPr id="77" name="圖片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25125" y="5719258"/>
          <a:ext cx="1343025" cy="12819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\&#21697;&#20445;&#37096;&#20849;&#29992;\Documents%20and%20Settings\adam_covey\Desktop\0F564%20REV%20X06-00%20T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nfe008\QA%20Material%20Bak\00DELL\QA%20TECHNICIANS\Blank%20i%20files%20for%20DT\87ECR-i-CAV%201-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arrant"/>
      <sheetName val="RSV"/>
      <sheetName val="ISRDATA"/>
      <sheetName val="Dell FAI"/>
      <sheetName val="CpK "/>
      <sheetName val="Dell-Cpk"/>
      <sheetName val="Dell-Cpk (2)"/>
      <sheetName val="Dell-Cpk (3)"/>
      <sheetName val="Dell-Cpk (4)"/>
      <sheetName val="Gage R&amp;R"/>
      <sheetName val="Drawing"/>
      <sheetName val="Matl Cert"/>
    </sheetNames>
    <sheetDataSet>
      <sheetData sheetId="0"/>
      <sheetData sheetId="1"/>
      <sheetData sheetId="2">
        <row r="4">
          <cell r="C4" t="str">
            <v>0F564</v>
          </cell>
        </row>
        <row r="5">
          <cell r="H5">
            <v>37159</v>
          </cell>
          <cell r="K5" t="str">
            <v>X06-00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P-1 INSP-CAV #1"/>
      <sheetName val="IP-1 INSP-CAV #2"/>
      <sheetName val="IP-1 INSP-CAV #3"/>
      <sheetName val="IP-1 INSP-CAV #4"/>
      <sheetName val="II-1 INSP"/>
      <sheetName val="AUDIT"/>
      <sheetName val="PFMEA"/>
      <sheetName val="IP_1 INSP_CAV _2"/>
      <sheetName val="Selec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/>
  <dimension ref="A1:Q71"/>
  <sheetViews>
    <sheetView showGridLines="0" tabSelected="1" zoomScale="115" zoomScaleNormal="115" workbookViewId="0">
      <selection activeCell="R26" sqref="R26"/>
    </sheetView>
  </sheetViews>
  <sheetFormatPr defaultRowHeight="16.5"/>
  <cols>
    <col min="1" max="3" width="8.7109375" style="1" customWidth="1"/>
    <col min="4" max="4" width="25" style="1" customWidth="1"/>
    <col min="5" max="6" width="8.7109375" style="1" customWidth="1"/>
    <col min="7" max="7" width="30.42578125" style="1" customWidth="1"/>
    <col min="8" max="17" width="9.85546875" style="1" customWidth="1"/>
    <col min="18" max="16384" width="9.140625" style="1"/>
  </cols>
  <sheetData>
    <row r="1" spans="1:17" ht="30">
      <c r="D1" s="179" t="s">
        <v>245</v>
      </c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1" t="s">
        <v>151</v>
      </c>
      <c r="Q1" s="182"/>
    </row>
    <row r="2" spans="1:17" ht="26.25" thickBot="1">
      <c r="A2" s="1" t="s">
        <v>0</v>
      </c>
      <c r="D2" s="183" t="s">
        <v>148</v>
      </c>
      <c r="E2" s="183"/>
      <c r="F2" s="183"/>
      <c r="G2" s="183"/>
      <c r="H2" s="183"/>
      <c r="I2" s="183"/>
      <c r="J2" s="183"/>
      <c r="K2" s="183"/>
      <c r="L2" s="183"/>
      <c r="M2" s="183"/>
      <c r="N2" s="183"/>
      <c r="O2" s="183"/>
      <c r="P2" s="182"/>
      <c r="Q2" s="182"/>
    </row>
    <row r="3" spans="1:17" s="2" customFormat="1" ht="17.25" customHeight="1" thickBot="1">
      <c r="A3" s="184" t="s">
        <v>1</v>
      </c>
      <c r="B3" s="185"/>
      <c r="C3" s="185"/>
      <c r="D3" s="125" t="s">
        <v>252</v>
      </c>
      <c r="E3" s="186" t="s">
        <v>16</v>
      </c>
      <c r="F3" s="187"/>
      <c r="G3" s="126" t="s">
        <v>250</v>
      </c>
      <c r="H3" s="188" t="s">
        <v>229</v>
      </c>
      <c r="I3" s="189"/>
      <c r="J3" s="190" t="s">
        <v>431</v>
      </c>
      <c r="K3" s="191"/>
      <c r="L3" s="192" t="s">
        <v>2</v>
      </c>
      <c r="M3" s="193"/>
      <c r="N3" s="194"/>
      <c r="O3" s="195" t="s">
        <v>432</v>
      </c>
      <c r="P3" s="196"/>
      <c r="Q3" s="197"/>
    </row>
    <row r="4" spans="1:17" s="2" customFormat="1" ht="17.25" customHeight="1" thickBot="1">
      <c r="A4" s="192" t="s">
        <v>230</v>
      </c>
      <c r="B4" s="201"/>
      <c r="C4" s="201"/>
      <c r="D4" s="127" t="s">
        <v>219</v>
      </c>
      <c r="E4" s="202" t="s">
        <v>231</v>
      </c>
      <c r="F4" s="200"/>
      <c r="G4" s="120" t="s">
        <v>251</v>
      </c>
      <c r="H4" s="203" t="s">
        <v>232</v>
      </c>
      <c r="I4" s="204"/>
      <c r="J4" s="205" t="s">
        <v>149</v>
      </c>
      <c r="K4" s="197"/>
      <c r="L4" s="203" t="s">
        <v>233</v>
      </c>
      <c r="M4" s="193"/>
      <c r="N4" s="194"/>
      <c r="O4" s="206">
        <v>46171.423611111109</v>
      </c>
      <c r="P4" s="207"/>
      <c r="Q4" s="208"/>
    </row>
    <row r="5" spans="1:17" s="2" customFormat="1" ht="17.25" customHeight="1" thickBot="1">
      <c r="A5" s="209" t="s">
        <v>234</v>
      </c>
      <c r="B5" s="210"/>
      <c r="C5" s="210"/>
      <c r="D5" s="128" t="s">
        <v>434</v>
      </c>
      <c r="E5" s="211" t="s">
        <v>235</v>
      </c>
      <c r="F5" s="212"/>
      <c r="G5" s="3" t="s">
        <v>17</v>
      </c>
      <c r="H5" s="213" t="s">
        <v>147</v>
      </c>
      <c r="I5" s="214"/>
      <c r="J5" s="215"/>
      <c r="K5" s="216"/>
      <c r="L5" s="192" t="s">
        <v>3</v>
      </c>
      <c r="M5" s="193"/>
      <c r="N5" s="194"/>
      <c r="O5" s="198" t="s">
        <v>433</v>
      </c>
      <c r="P5" s="199"/>
      <c r="Q5" s="200"/>
    </row>
    <row r="6" spans="1:17" s="3" customFormat="1" ht="14.45" customHeight="1">
      <c r="A6" s="219" t="s">
        <v>236</v>
      </c>
      <c r="B6" s="225" t="s">
        <v>146</v>
      </c>
      <c r="C6" s="219" t="s">
        <v>237</v>
      </c>
      <c r="D6" s="219" t="s">
        <v>238</v>
      </c>
      <c r="E6" s="221" t="s">
        <v>239</v>
      </c>
      <c r="F6" s="222"/>
      <c r="G6" s="222" t="s">
        <v>240</v>
      </c>
      <c r="H6" s="217" t="s">
        <v>4</v>
      </c>
      <c r="I6" s="217"/>
      <c r="J6" s="217"/>
      <c r="K6" s="217"/>
      <c r="L6" s="217"/>
      <c r="M6" s="217"/>
      <c r="N6" s="217"/>
      <c r="O6" s="217"/>
      <c r="P6" s="217"/>
      <c r="Q6" s="218"/>
    </row>
    <row r="7" spans="1:17" s="2" customFormat="1" ht="23.25" thickBot="1">
      <c r="A7" s="220"/>
      <c r="B7" s="226"/>
      <c r="C7" s="227"/>
      <c r="D7" s="220"/>
      <c r="E7" s="223"/>
      <c r="F7" s="224"/>
      <c r="G7" s="224"/>
      <c r="H7" s="4" t="s">
        <v>5</v>
      </c>
      <c r="I7" s="5" t="s">
        <v>6</v>
      </c>
      <c r="J7" s="5" t="s">
        <v>7</v>
      </c>
      <c r="K7" s="5" t="s">
        <v>8</v>
      </c>
      <c r="L7" s="5" t="s">
        <v>9</v>
      </c>
      <c r="M7" s="5" t="s">
        <v>10</v>
      </c>
      <c r="N7" s="5" t="s">
        <v>11</v>
      </c>
      <c r="O7" s="5" t="s">
        <v>12</v>
      </c>
      <c r="P7" s="5" t="s">
        <v>13</v>
      </c>
      <c r="Q7" s="6" t="s">
        <v>14</v>
      </c>
    </row>
    <row r="8" spans="1:17" ht="18" customHeight="1">
      <c r="A8" s="172">
        <v>1</v>
      </c>
      <c r="B8" s="163" t="s">
        <v>282</v>
      </c>
      <c r="C8" s="129"/>
      <c r="D8" s="149">
        <v>0.02</v>
      </c>
      <c r="E8" s="150" t="s">
        <v>292</v>
      </c>
      <c r="F8" s="151" t="s">
        <v>290</v>
      </c>
      <c r="G8" s="162" t="s">
        <v>217</v>
      </c>
      <c r="H8" s="158">
        <v>1.0699999999999999E-2</v>
      </c>
      <c r="I8" s="166">
        <v>0.01</v>
      </c>
      <c r="J8" s="130"/>
      <c r="K8" s="130"/>
      <c r="L8" s="130"/>
      <c r="M8" s="130"/>
      <c r="N8" s="130"/>
      <c r="O8" s="130"/>
      <c r="P8" s="130"/>
      <c r="Q8" s="131"/>
    </row>
    <row r="9" spans="1:17" ht="18" customHeight="1">
      <c r="A9" s="171" t="s">
        <v>253</v>
      </c>
      <c r="B9" s="165" t="s">
        <v>283</v>
      </c>
      <c r="C9" s="132" t="s">
        <v>329</v>
      </c>
      <c r="D9" s="152" t="s">
        <v>285</v>
      </c>
      <c r="E9" s="153" t="s">
        <v>287</v>
      </c>
      <c r="F9" s="154" t="s">
        <v>223</v>
      </c>
      <c r="G9" s="162" t="s">
        <v>218</v>
      </c>
      <c r="H9" s="159">
        <v>0.32100000000000001</v>
      </c>
      <c r="I9" s="167">
        <v>0.32900000000000001</v>
      </c>
      <c r="J9" s="133"/>
      <c r="K9" s="133"/>
      <c r="L9" s="133"/>
      <c r="M9" s="133"/>
      <c r="N9" s="133"/>
      <c r="O9" s="133"/>
      <c r="P9" s="133"/>
      <c r="Q9" s="134"/>
    </row>
    <row r="10" spans="1:17" ht="18" customHeight="1">
      <c r="A10" s="171" t="s">
        <v>254</v>
      </c>
      <c r="B10" s="165" t="s">
        <v>291</v>
      </c>
      <c r="C10" s="132"/>
      <c r="D10" s="155">
        <v>17.899999999999999</v>
      </c>
      <c r="E10" s="153" t="s">
        <v>292</v>
      </c>
      <c r="F10" s="154" t="s">
        <v>293</v>
      </c>
      <c r="G10" s="162" t="s">
        <v>424</v>
      </c>
      <c r="H10" s="159">
        <v>17.87</v>
      </c>
      <c r="I10" s="167">
        <v>17.88</v>
      </c>
      <c r="J10" s="133"/>
      <c r="K10" s="133"/>
      <c r="L10" s="133"/>
      <c r="M10" s="133"/>
      <c r="N10" s="133"/>
      <c r="O10" s="133"/>
      <c r="P10" s="133"/>
      <c r="Q10" s="134"/>
    </row>
    <row r="11" spans="1:17" ht="18" customHeight="1">
      <c r="A11" s="173" t="s">
        <v>258</v>
      </c>
      <c r="B11" s="165" t="s">
        <v>294</v>
      </c>
      <c r="C11" s="132" t="s">
        <v>226</v>
      </c>
      <c r="D11" s="156" t="s">
        <v>295</v>
      </c>
      <c r="E11" s="153" t="s">
        <v>222</v>
      </c>
      <c r="F11" s="154" t="s">
        <v>223</v>
      </c>
      <c r="G11" s="162" t="s">
        <v>218</v>
      </c>
      <c r="H11" s="159">
        <v>0.96</v>
      </c>
      <c r="I11" s="167">
        <v>0.97</v>
      </c>
      <c r="J11" s="133"/>
      <c r="K11" s="133"/>
      <c r="L11" s="133"/>
      <c r="M11" s="133"/>
      <c r="N11" s="133"/>
      <c r="O11" s="133"/>
      <c r="P11" s="133"/>
      <c r="Q11" s="134"/>
    </row>
    <row r="12" spans="1:17" ht="18" customHeight="1">
      <c r="A12" s="174" t="s">
        <v>259</v>
      </c>
      <c r="B12" s="165" t="s">
        <v>296</v>
      </c>
      <c r="C12" s="135"/>
      <c r="D12" s="152">
        <v>17.899999999999999</v>
      </c>
      <c r="E12" s="153" t="s">
        <v>222</v>
      </c>
      <c r="F12" s="154" t="s">
        <v>223</v>
      </c>
      <c r="G12" s="162" t="s">
        <v>424</v>
      </c>
      <c r="H12" s="160">
        <v>17.89</v>
      </c>
      <c r="I12" s="167">
        <v>17.88</v>
      </c>
      <c r="J12" s="133"/>
      <c r="K12" s="133"/>
      <c r="L12" s="133"/>
      <c r="M12" s="133"/>
      <c r="N12" s="133"/>
      <c r="O12" s="133"/>
      <c r="P12" s="133"/>
      <c r="Q12" s="134"/>
    </row>
    <row r="13" spans="1:17" ht="18" customHeight="1">
      <c r="A13" s="171" t="s">
        <v>260</v>
      </c>
      <c r="B13" s="165" t="s">
        <v>298</v>
      </c>
      <c r="C13" s="132"/>
      <c r="D13" s="157">
        <v>1.4</v>
      </c>
      <c r="E13" s="153" t="s">
        <v>286</v>
      </c>
      <c r="F13" s="154" t="s">
        <v>288</v>
      </c>
      <c r="G13" s="162" t="s">
        <v>320</v>
      </c>
      <c r="H13" s="161">
        <v>1.42</v>
      </c>
      <c r="I13" s="168">
        <v>1.419</v>
      </c>
      <c r="J13" s="136"/>
      <c r="K13" s="136"/>
      <c r="L13" s="136"/>
      <c r="M13" s="137"/>
      <c r="N13" s="137"/>
      <c r="O13" s="137"/>
      <c r="P13" s="137"/>
      <c r="Q13" s="138"/>
    </row>
    <row r="14" spans="1:17" ht="18" customHeight="1">
      <c r="A14" s="171" t="s">
        <v>261</v>
      </c>
      <c r="B14" s="165" t="s">
        <v>299</v>
      </c>
      <c r="C14" s="135"/>
      <c r="D14" s="152" t="s">
        <v>300</v>
      </c>
      <c r="E14" s="153" t="s">
        <v>301</v>
      </c>
      <c r="F14" s="154" t="s">
        <v>302</v>
      </c>
      <c r="G14" s="162" t="s">
        <v>319</v>
      </c>
      <c r="H14" s="161">
        <v>2.681</v>
      </c>
      <c r="I14" s="168">
        <v>2.6829999999999998</v>
      </c>
      <c r="J14" s="136"/>
      <c r="K14" s="136"/>
      <c r="L14" s="136"/>
      <c r="M14" s="137"/>
      <c r="N14" s="137"/>
      <c r="O14" s="137"/>
      <c r="P14" s="137"/>
      <c r="Q14" s="138"/>
    </row>
    <row r="15" spans="1:17" ht="18" customHeight="1">
      <c r="A15" s="173" t="s">
        <v>262</v>
      </c>
      <c r="B15" s="165" t="s">
        <v>303</v>
      </c>
      <c r="C15" s="175" t="s">
        <v>305</v>
      </c>
      <c r="D15" s="152">
        <v>0.01</v>
      </c>
      <c r="E15" s="153" t="s">
        <v>426</v>
      </c>
      <c r="F15" s="154" t="s">
        <v>318</v>
      </c>
      <c r="G15" s="162" t="s">
        <v>217</v>
      </c>
      <c r="H15" s="161">
        <v>8.9999999999999993E-3</v>
      </c>
      <c r="I15" s="168">
        <v>7.0000000000000001E-3</v>
      </c>
      <c r="J15" s="136"/>
      <c r="K15" s="136"/>
      <c r="L15" s="136"/>
      <c r="M15" s="137"/>
      <c r="N15" s="137"/>
      <c r="O15" s="137"/>
      <c r="P15" s="137"/>
      <c r="Q15" s="138"/>
    </row>
    <row r="16" spans="1:17" ht="18" customHeight="1">
      <c r="A16" s="174" t="s">
        <v>263</v>
      </c>
      <c r="B16" s="165" t="s">
        <v>306</v>
      </c>
      <c r="C16" s="139"/>
      <c r="D16" s="152">
        <v>0.01</v>
      </c>
      <c r="E16" s="153" t="s">
        <v>292</v>
      </c>
      <c r="F16" s="154" t="s">
        <v>370</v>
      </c>
      <c r="G16" s="162" t="s">
        <v>217</v>
      </c>
      <c r="H16" s="161">
        <v>5.0000000000000001E-3</v>
      </c>
      <c r="I16" s="168">
        <v>3.0000000000000001E-3</v>
      </c>
      <c r="J16" s="136"/>
      <c r="K16" s="136"/>
      <c r="L16" s="136"/>
      <c r="M16" s="137"/>
      <c r="N16" s="137"/>
      <c r="O16" s="137"/>
      <c r="P16" s="137"/>
      <c r="Q16" s="138"/>
    </row>
    <row r="17" spans="1:17" ht="18" customHeight="1">
      <c r="A17" s="171" t="s">
        <v>264</v>
      </c>
      <c r="B17" s="165" t="s">
        <v>307</v>
      </c>
      <c r="C17" s="132" t="s">
        <v>310</v>
      </c>
      <c r="D17" s="152">
        <v>0.1</v>
      </c>
      <c r="E17" s="153" t="s">
        <v>394</v>
      </c>
      <c r="F17" s="154" t="s">
        <v>308</v>
      </c>
      <c r="G17" s="162" t="s">
        <v>312</v>
      </c>
      <c r="H17" s="161">
        <v>9.0999999999999998E-2</v>
      </c>
      <c r="I17" s="168">
        <v>8.6999999999999994E-3</v>
      </c>
      <c r="J17" s="136"/>
      <c r="K17" s="136"/>
      <c r="L17" s="136"/>
      <c r="M17" s="137"/>
      <c r="N17" s="137"/>
      <c r="O17" s="137"/>
      <c r="P17" s="137"/>
      <c r="Q17" s="138"/>
    </row>
    <row r="18" spans="1:17" ht="18" customHeight="1">
      <c r="A18" s="171" t="s">
        <v>265</v>
      </c>
      <c r="B18" s="165" t="s">
        <v>311</v>
      </c>
      <c r="C18" s="132"/>
      <c r="D18" s="152">
        <v>0.01</v>
      </c>
      <c r="E18" s="153" t="s">
        <v>289</v>
      </c>
      <c r="F18" s="154" t="s">
        <v>318</v>
      </c>
      <c r="G18" s="162" t="s">
        <v>217</v>
      </c>
      <c r="H18" s="161">
        <v>5.0000000000000001E-3</v>
      </c>
      <c r="I18" s="168">
        <v>5.0000000000000001E-3</v>
      </c>
      <c r="J18" s="136"/>
      <c r="K18" s="136"/>
      <c r="L18" s="136"/>
      <c r="M18" s="137"/>
      <c r="N18" s="137"/>
      <c r="O18" s="137"/>
      <c r="P18" s="137"/>
      <c r="Q18" s="138"/>
    </row>
    <row r="19" spans="1:17" ht="18" customHeight="1">
      <c r="A19" s="173" t="s">
        <v>266</v>
      </c>
      <c r="B19" s="165" t="s">
        <v>246</v>
      </c>
      <c r="C19" s="132" t="s">
        <v>314</v>
      </c>
      <c r="D19" s="152" t="s">
        <v>313</v>
      </c>
      <c r="E19" s="153" t="s">
        <v>286</v>
      </c>
      <c r="F19" s="154" t="s">
        <v>288</v>
      </c>
      <c r="G19" s="162" t="s">
        <v>427</v>
      </c>
      <c r="H19" s="161">
        <v>5.6000000000000001E-2</v>
      </c>
      <c r="I19" s="168">
        <v>5.3100000000000001E-2</v>
      </c>
      <c r="J19" s="136"/>
      <c r="K19" s="136"/>
      <c r="L19" s="136"/>
      <c r="M19" s="137"/>
      <c r="N19" s="137"/>
      <c r="O19" s="137"/>
      <c r="P19" s="137"/>
      <c r="Q19" s="138"/>
    </row>
    <row r="20" spans="1:17" ht="18" customHeight="1">
      <c r="A20" s="174" t="s">
        <v>267</v>
      </c>
      <c r="B20" s="165" t="s">
        <v>315</v>
      </c>
      <c r="C20" s="132"/>
      <c r="D20" s="152" t="s">
        <v>316</v>
      </c>
      <c r="E20" s="153" t="s">
        <v>317</v>
      </c>
      <c r="F20" s="154" t="s">
        <v>318</v>
      </c>
      <c r="G20" s="162" t="s">
        <v>320</v>
      </c>
      <c r="H20" s="161">
        <v>2.5000000000000001E-2</v>
      </c>
      <c r="I20" s="168">
        <v>0.03</v>
      </c>
      <c r="J20" s="136"/>
      <c r="K20" s="136"/>
      <c r="L20" s="136"/>
      <c r="M20" s="137"/>
      <c r="N20" s="137"/>
      <c r="O20" s="137"/>
      <c r="P20" s="137"/>
      <c r="Q20" s="138"/>
    </row>
    <row r="21" spans="1:17" ht="18" customHeight="1">
      <c r="A21" s="171" t="s">
        <v>268</v>
      </c>
      <c r="B21" s="165" t="s">
        <v>322</v>
      </c>
      <c r="C21" s="132"/>
      <c r="D21" s="157" t="s">
        <v>321</v>
      </c>
      <c r="E21" s="153" t="s">
        <v>286</v>
      </c>
      <c r="F21" s="154" t="s">
        <v>288</v>
      </c>
      <c r="G21" s="162" t="s">
        <v>320</v>
      </c>
      <c r="H21" s="161">
        <v>1.98</v>
      </c>
      <c r="I21" s="168">
        <v>2.0099999999999998</v>
      </c>
      <c r="J21" s="136"/>
      <c r="K21" s="136"/>
      <c r="L21" s="136"/>
      <c r="M21" s="137"/>
      <c r="N21" s="137"/>
      <c r="O21" s="137"/>
      <c r="P21" s="137"/>
      <c r="Q21" s="138"/>
    </row>
    <row r="22" spans="1:17" ht="18" customHeight="1">
      <c r="A22" s="171" t="s">
        <v>269</v>
      </c>
      <c r="B22" s="165" t="s">
        <v>323</v>
      </c>
      <c r="C22" s="135" t="s">
        <v>328</v>
      </c>
      <c r="D22" s="152" t="s">
        <v>324</v>
      </c>
      <c r="E22" s="153" t="s">
        <v>286</v>
      </c>
      <c r="F22" s="154" t="s">
        <v>288</v>
      </c>
      <c r="G22" s="162" t="s">
        <v>218</v>
      </c>
      <c r="H22" s="161">
        <v>0.49</v>
      </c>
      <c r="I22" s="168">
        <v>0.47099999999999997</v>
      </c>
      <c r="J22" s="136"/>
      <c r="K22" s="136"/>
      <c r="L22" s="136"/>
      <c r="M22" s="137"/>
      <c r="N22" s="137"/>
      <c r="O22" s="137"/>
      <c r="P22" s="137"/>
      <c r="Q22" s="138"/>
    </row>
    <row r="23" spans="1:17" ht="18" customHeight="1">
      <c r="A23" s="173" t="s">
        <v>270</v>
      </c>
      <c r="B23" s="165" t="s">
        <v>326</v>
      </c>
      <c r="C23" s="132"/>
      <c r="D23" s="157">
        <v>8.577</v>
      </c>
      <c r="E23" s="153" t="s">
        <v>286</v>
      </c>
      <c r="F23" s="154" t="s">
        <v>288</v>
      </c>
      <c r="G23" s="162" t="s">
        <v>218</v>
      </c>
      <c r="H23" s="161">
        <v>8.5660000000000007</v>
      </c>
      <c r="I23" s="168">
        <v>8.5690000000000008</v>
      </c>
      <c r="J23" s="136"/>
      <c r="K23" s="136"/>
      <c r="L23" s="136"/>
      <c r="M23" s="137"/>
      <c r="N23" s="137"/>
      <c r="O23" s="137"/>
      <c r="P23" s="137"/>
      <c r="Q23" s="138"/>
    </row>
    <row r="24" spans="1:17" ht="18" customHeight="1">
      <c r="A24" s="174" t="s">
        <v>271</v>
      </c>
      <c r="B24" s="164" t="s">
        <v>327</v>
      </c>
      <c r="C24" s="132" t="s">
        <v>325</v>
      </c>
      <c r="D24" s="152" t="s">
        <v>330</v>
      </c>
      <c r="E24" s="153" t="s">
        <v>286</v>
      </c>
      <c r="F24" s="154" t="s">
        <v>288</v>
      </c>
      <c r="G24" s="162" t="s">
        <v>218</v>
      </c>
      <c r="H24" s="161">
        <v>0.97099999999999997</v>
      </c>
      <c r="I24" s="168">
        <v>0.96499999999999997</v>
      </c>
      <c r="J24" s="136"/>
      <c r="K24" s="136"/>
      <c r="L24" s="136"/>
      <c r="M24" s="137"/>
      <c r="N24" s="137"/>
      <c r="O24" s="137"/>
      <c r="P24" s="137"/>
      <c r="Q24" s="138"/>
    </row>
    <row r="25" spans="1:17" ht="18" customHeight="1">
      <c r="A25" s="171" t="s">
        <v>272</v>
      </c>
      <c r="B25" s="164" t="s">
        <v>323</v>
      </c>
      <c r="C25" s="132" t="s">
        <v>226</v>
      </c>
      <c r="D25" s="152" t="s">
        <v>331</v>
      </c>
      <c r="E25" s="153" t="s">
        <v>286</v>
      </c>
      <c r="F25" s="154" t="s">
        <v>288</v>
      </c>
      <c r="G25" s="162" t="s">
        <v>218</v>
      </c>
      <c r="H25" s="161">
        <v>0.96</v>
      </c>
      <c r="I25" s="168">
        <v>0.96599999999999997</v>
      </c>
      <c r="J25" s="136"/>
      <c r="K25" s="136"/>
      <c r="L25" s="136"/>
      <c r="M25" s="137"/>
      <c r="N25" s="137"/>
      <c r="O25" s="137"/>
      <c r="P25" s="137"/>
      <c r="Q25" s="138"/>
    </row>
    <row r="26" spans="1:17" ht="18" customHeight="1">
      <c r="A26" s="171" t="s">
        <v>274</v>
      </c>
      <c r="B26" s="164" t="s">
        <v>332</v>
      </c>
      <c r="C26" s="132" t="s">
        <v>333</v>
      </c>
      <c r="D26" s="152" t="s">
        <v>334</v>
      </c>
      <c r="E26" s="153" t="s">
        <v>286</v>
      </c>
      <c r="F26" s="154" t="s">
        <v>288</v>
      </c>
      <c r="G26" s="162" t="s">
        <v>218</v>
      </c>
      <c r="H26" s="161">
        <v>7.2999999999999995E-2</v>
      </c>
      <c r="I26" s="168">
        <v>6.0999999999999999E-2</v>
      </c>
      <c r="J26" s="136"/>
      <c r="K26" s="136"/>
      <c r="L26" s="136"/>
      <c r="M26" s="137"/>
      <c r="N26" s="137"/>
      <c r="O26" s="137"/>
      <c r="P26" s="137"/>
      <c r="Q26" s="138"/>
    </row>
    <row r="27" spans="1:17" ht="18" customHeight="1">
      <c r="A27" s="171" t="s">
        <v>275</v>
      </c>
      <c r="B27" s="164" t="s">
        <v>335</v>
      </c>
      <c r="C27" s="132"/>
      <c r="D27" s="152">
        <v>6.19</v>
      </c>
      <c r="E27" s="153" t="s">
        <v>301</v>
      </c>
      <c r="F27" s="154" t="s">
        <v>221</v>
      </c>
      <c r="G27" s="162" t="s">
        <v>218</v>
      </c>
      <c r="H27" s="161">
        <v>6.19</v>
      </c>
      <c r="I27" s="168">
        <v>6.18</v>
      </c>
      <c r="J27" s="136"/>
      <c r="K27" s="136"/>
      <c r="L27" s="136"/>
      <c r="M27" s="137"/>
      <c r="N27" s="137"/>
      <c r="O27" s="137"/>
      <c r="P27" s="137"/>
      <c r="Q27" s="138"/>
    </row>
    <row r="28" spans="1:17" ht="18" customHeight="1">
      <c r="A28" s="171" t="s">
        <v>276</v>
      </c>
      <c r="B28" s="164" t="s">
        <v>247</v>
      </c>
      <c r="C28" s="132"/>
      <c r="D28" s="152">
        <v>3.5</v>
      </c>
      <c r="E28" s="153" t="s">
        <v>286</v>
      </c>
      <c r="F28" s="154" t="s">
        <v>288</v>
      </c>
      <c r="G28" s="162" t="s">
        <v>218</v>
      </c>
      <c r="H28" s="161">
        <v>3.5209999999999999</v>
      </c>
      <c r="I28" s="168">
        <v>3.5329999999999999</v>
      </c>
      <c r="J28" s="136"/>
      <c r="K28" s="136"/>
      <c r="L28" s="136"/>
      <c r="M28" s="137"/>
      <c r="N28" s="137"/>
      <c r="O28" s="137"/>
      <c r="P28" s="137"/>
      <c r="Q28" s="138"/>
    </row>
    <row r="29" spans="1:17" ht="18" customHeight="1">
      <c r="A29" s="171" t="s">
        <v>277</v>
      </c>
      <c r="B29" s="164" t="s">
        <v>336</v>
      </c>
      <c r="C29" s="132"/>
      <c r="D29" s="152">
        <v>4.5</v>
      </c>
      <c r="E29" s="153" t="s">
        <v>286</v>
      </c>
      <c r="F29" s="154" t="s">
        <v>288</v>
      </c>
      <c r="G29" s="162" t="s">
        <v>218</v>
      </c>
      <c r="H29" s="161">
        <v>4.5199999999999996</v>
      </c>
      <c r="I29" s="168">
        <v>4.5199999999999996</v>
      </c>
      <c r="J29" s="136"/>
      <c r="K29" s="136"/>
      <c r="L29" s="136"/>
      <c r="M29" s="137"/>
      <c r="N29" s="137"/>
      <c r="O29" s="137"/>
      <c r="P29" s="137"/>
      <c r="Q29" s="138"/>
    </row>
    <row r="30" spans="1:17" ht="18" customHeight="1">
      <c r="A30" s="171" t="s">
        <v>278</v>
      </c>
      <c r="B30" s="164" t="s">
        <v>337</v>
      </c>
      <c r="C30" s="132"/>
      <c r="D30" s="152">
        <v>0.5</v>
      </c>
      <c r="E30" s="153" t="s">
        <v>286</v>
      </c>
      <c r="F30" s="154" t="s">
        <v>288</v>
      </c>
      <c r="G30" s="162" t="s">
        <v>218</v>
      </c>
      <c r="H30" s="161">
        <v>0.52700000000000002</v>
      </c>
      <c r="I30" s="168">
        <v>0.51600000000000001</v>
      </c>
      <c r="J30" s="136"/>
      <c r="K30" s="136"/>
      <c r="L30" s="136"/>
      <c r="M30" s="137"/>
      <c r="N30" s="137"/>
      <c r="O30" s="137"/>
      <c r="P30" s="137"/>
      <c r="Q30" s="138"/>
    </row>
    <row r="31" spans="1:17" ht="18" customHeight="1">
      <c r="A31" s="171" t="s">
        <v>279</v>
      </c>
      <c r="B31" s="164" t="s">
        <v>338</v>
      </c>
      <c r="C31" s="176" t="s">
        <v>339</v>
      </c>
      <c r="D31" s="152">
        <v>0.02</v>
      </c>
      <c r="E31" s="153" t="s">
        <v>394</v>
      </c>
      <c r="F31" s="154" t="s">
        <v>221</v>
      </c>
      <c r="G31" s="162" t="s">
        <v>218</v>
      </c>
      <c r="H31" s="161">
        <v>0.02</v>
      </c>
      <c r="I31" s="168">
        <v>1.9E-2</v>
      </c>
      <c r="J31" s="136"/>
      <c r="K31" s="136"/>
      <c r="L31" s="136"/>
      <c r="M31" s="137"/>
      <c r="N31" s="137"/>
      <c r="O31" s="137"/>
      <c r="P31" s="137"/>
      <c r="Q31" s="138"/>
    </row>
    <row r="32" spans="1:17" ht="18" customHeight="1">
      <c r="A32" s="171" t="s">
        <v>280</v>
      </c>
      <c r="B32" s="164" t="s">
        <v>340</v>
      </c>
      <c r="C32" s="176" t="s">
        <v>339</v>
      </c>
      <c r="D32" s="152">
        <v>0.02</v>
      </c>
      <c r="E32" s="153" t="s">
        <v>394</v>
      </c>
      <c r="F32" s="154" t="s">
        <v>221</v>
      </c>
      <c r="G32" s="162" t="s">
        <v>218</v>
      </c>
      <c r="H32" s="161">
        <v>1.2E-2</v>
      </c>
      <c r="I32" s="168">
        <v>1.7999999999999999E-2</v>
      </c>
      <c r="J32" s="136"/>
      <c r="K32" s="136"/>
      <c r="L32" s="136"/>
      <c r="M32" s="137"/>
      <c r="N32" s="137"/>
      <c r="O32" s="137"/>
      <c r="P32" s="137"/>
      <c r="Q32" s="138"/>
    </row>
    <row r="33" spans="1:17" ht="18" customHeight="1">
      <c r="A33" s="173" t="s">
        <v>281</v>
      </c>
      <c r="B33" s="164" t="s">
        <v>341</v>
      </c>
      <c r="C33" s="176" t="s">
        <v>388</v>
      </c>
      <c r="D33" s="152">
        <v>0.02</v>
      </c>
      <c r="E33" s="153" t="s">
        <v>375</v>
      </c>
      <c r="F33" s="154" t="s">
        <v>221</v>
      </c>
      <c r="G33" s="162" t="s">
        <v>218</v>
      </c>
      <c r="H33" s="161">
        <v>0.02</v>
      </c>
      <c r="I33" s="168">
        <v>0.02</v>
      </c>
      <c r="J33" s="136"/>
      <c r="K33" s="136"/>
      <c r="L33" s="136"/>
      <c r="M33" s="137"/>
      <c r="N33" s="137"/>
      <c r="O33" s="137"/>
      <c r="P33" s="137"/>
      <c r="Q33" s="138"/>
    </row>
    <row r="34" spans="1:17" ht="18" customHeight="1">
      <c r="A34" s="174" t="s">
        <v>342</v>
      </c>
      <c r="B34" s="164" t="s">
        <v>338</v>
      </c>
      <c r="C34" s="176" t="s">
        <v>314</v>
      </c>
      <c r="D34" s="152" t="s">
        <v>369</v>
      </c>
      <c r="E34" s="153" t="s">
        <v>371</v>
      </c>
      <c r="F34" s="154" t="s">
        <v>223</v>
      </c>
      <c r="G34" s="162" t="s">
        <v>218</v>
      </c>
      <c r="H34" s="161">
        <v>0.54</v>
      </c>
      <c r="I34" s="168">
        <v>0.53100000000000003</v>
      </c>
      <c r="J34" s="136"/>
      <c r="K34" s="136"/>
      <c r="L34" s="136"/>
      <c r="M34" s="137"/>
      <c r="N34" s="137"/>
      <c r="O34" s="137"/>
      <c r="P34" s="137"/>
      <c r="Q34" s="138"/>
    </row>
    <row r="35" spans="1:17" ht="18" customHeight="1">
      <c r="A35" s="174" t="s">
        <v>343</v>
      </c>
      <c r="B35" s="164" t="s">
        <v>249</v>
      </c>
      <c r="C35" s="176" t="s">
        <v>226</v>
      </c>
      <c r="D35" s="152" t="s">
        <v>372</v>
      </c>
      <c r="E35" s="153" t="s">
        <v>286</v>
      </c>
      <c r="F35" s="154" t="s">
        <v>288</v>
      </c>
      <c r="G35" s="162" t="s">
        <v>218</v>
      </c>
      <c r="H35" s="161">
        <v>1.008</v>
      </c>
      <c r="I35" s="168">
        <v>1.01</v>
      </c>
      <c r="J35" s="136"/>
      <c r="K35" s="136"/>
      <c r="L35" s="136"/>
      <c r="M35" s="137"/>
      <c r="N35" s="137"/>
      <c r="O35" s="137"/>
      <c r="P35" s="137"/>
      <c r="Q35" s="138"/>
    </row>
    <row r="36" spans="1:17" ht="18" customHeight="1">
      <c r="A36" s="174" t="s">
        <v>344</v>
      </c>
      <c r="B36" s="164" t="s">
        <v>373</v>
      </c>
      <c r="C36" s="176"/>
      <c r="D36" s="152">
        <v>30</v>
      </c>
      <c r="E36" s="153" t="s">
        <v>371</v>
      </c>
      <c r="F36" s="154" t="s">
        <v>223</v>
      </c>
      <c r="G36" s="162" t="s">
        <v>424</v>
      </c>
      <c r="H36" s="161">
        <v>30.01</v>
      </c>
      <c r="I36" s="168">
        <v>30.02</v>
      </c>
      <c r="J36" s="136"/>
      <c r="K36" s="136"/>
      <c r="L36" s="136"/>
      <c r="M36" s="137"/>
      <c r="N36" s="137"/>
      <c r="O36" s="137"/>
      <c r="P36" s="137"/>
      <c r="Q36" s="138"/>
    </row>
    <row r="37" spans="1:17" ht="18" customHeight="1">
      <c r="A37" s="174" t="s">
        <v>345</v>
      </c>
      <c r="B37" s="164" t="s">
        <v>374</v>
      </c>
      <c r="C37" s="176"/>
      <c r="D37" s="152">
        <v>15</v>
      </c>
      <c r="E37" s="153" t="s">
        <v>286</v>
      </c>
      <c r="F37" s="154" t="s">
        <v>288</v>
      </c>
      <c r="G37" s="162" t="s">
        <v>218</v>
      </c>
      <c r="H37" s="161">
        <v>14.99</v>
      </c>
      <c r="I37" s="168">
        <v>14.99</v>
      </c>
      <c r="J37" s="136"/>
      <c r="K37" s="136"/>
      <c r="L37" s="136"/>
      <c r="M37" s="137"/>
      <c r="N37" s="137"/>
      <c r="O37" s="137"/>
      <c r="P37" s="137"/>
      <c r="Q37" s="138"/>
    </row>
    <row r="38" spans="1:17" ht="18" customHeight="1">
      <c r="A38" s="174" t="s">
        <v>255</v>
      </c>
      <c r="B38" s="164" t="s">
        <v>248</v>
      </c>
      <c r="C38" s="176"/>
      <c r="D38" s="152">
        <v>18</v>
      </c>
      <c r="E38" s="153" t="s">
        <v>375</v>
      </c>
      <c r="F38" s="154" t="s">
        <v>376</v>
      </c>
      <c r="G38" s="162" t="s">
        <v>218</v>
      </c>
      <c r="H38" s="161">
        <v>17.97</v>
      </c>
      <c r="I38" s="168">
        <v>17.98</v>
      </c>
      <c r="J38" s="136"/>
      <c r="K38" s="136"/>
      <c r="L38" s="136"/>
      <c r="M38" s="137"/>
      <c r="N38" s="137"/>
      <c r="O38" s="137"/>
      <c r="P38" s="137"/>
      <c r="Q38" s="138"/>
    </row>
    <row r="39" spans="1:17" ht="18" customHeight="1">
      <c r="A39" s="174" t="s">
        <v>346</v>
      </c>
      <c r="B39" s="164" t="s">
        <v>378</v>
      </c>
      <c r="C39" s="176" t="s">
        <v>377</v>
      </c>
      <c r="D39" s="152" t="s">
        <v>379</v>
      </c>
      <c r="E39" s="153" t="s">
        <v>286</v>
      </c>
      <c r="F39" s="154" t="s">
        <v>288</v>
      </c>
      <c r="G39" s="162" t="s">
        <v>218</v>
      </c>
      <c r="H39" s="161">
        <v>1.04</v>
      </c>
      <c r="I39" s="168">
        <v>1.0369999999999999</v>
      </c>
      <c r="J39" s="136"/>
      <c r="K39" s="136"/>
      <c r="L39" s="136"/>
      <c r="M39" s="137"/>
      <c r="N39" s="137"/>
      <c r="O39" s="137"/>
      <c r="P39" s="137"/>
      <c r="Q39" s="138"/>
    </row>
    <row r="40" spans="1:17" ht="18" customHeight="1">
      <c r="A40" s="174" t="s">
        <v>257</v>
      </c>
      <c r="B40" s="164" t="s">
        <v>380</v>
      </c>
      <c r="C40" s="176"/>
      <c r="D40" s="152">
        <v>15</v>
      </c>
      <c r="E40" s="153" t="s">
        <v>286</v>
      </c>
      <c r="F40" s="154" t="s">
        <v>288</v>
      </c>
      <c r="G40" s="162" t="s">
        <v>218</v>
      </c>
      <c r="H40" s="161">
        <v>14.98</v>
      </c>
      <c r="I40" s="168">
        <v>14.99</v>
      </c>
      <c r="J40" s="136"/>
      <c r="K40" s="136"/>
      <c r="L40" s="136"/>
      <c r="M40" s="137"/>
      <c r="N40" s="137"/>
      <c r="O40" s="137"/>
      <c r="P40" s="137"/>
      <c r="Q40" s="138"/>
    </row>
    <row r="41" spans="1:17" ht="18" customHeight="1">
      <c r="A41" s="174" t="s">
        <v>347</v>
      </c>
      <c r="B41" s="164" t="s">
        <v>381</v>
      </c>
      <c r="C41" s="176"/>
      <c r="D41" s="152">
        <v>18</v>
      </c>
      <c r="E41" s="153" t="s">
        <v>382</v>
      </c>
      <c r="F41" s="154" t="s">
        <v>383</v>
      </c>
      <c r="G41" s="162" t="s">
        <v>218</v>
      </c>
      <c r="H41" s="161">
        <v>17.98</v>
      </c>
      <c r="I41" s="168">
        <v>17.96</v>
      </c>
      <c r="J41" s="136"/>
      <c r="K41" s="136"/>
      <c r="L41" s="136"/>
      <c r="M41" s="137"/>
      <c r="N41" s="137"/>
      <c r="O41" s="137"/>
      <c r="P41" s="137"/>
      <c r="Q41" s="138"/>
    </row>
    <row r="42" spans="1:17" ht="18" customHeight="1">
      <c r="A42" s="174" t="s">
        <v>256</v>
      </c>
      <c r="B42" s="164" t="s">
        <v>384</v>
      </c>
      <c r="C42" s="176"/>
      <c r="D42" s="152">
        <v>37</v>
      </c>
      <c r="E42" s="153" t="s">
        <v>286</v>
      </c>
      <c r="F42" s="154" t="s">
        <v>288</v>
      </c>
      <c r="G42" s="162" t="s">
        <v>424</v>
      </c>
      <c r="H42" s="161">
        <v>37.01</v>
      </c>
      <c r="I42" s="168">
        <v>37.01</v>
      </c>
      <c r="J42" s="136"/>
      <c r="K42" s="136"/>
      <c r="L42" s="136"/>
      <c r="M42" s="137"/>
      <c r="N42" s="137"/>
      <c r="O42" s="137"/>
      <c r="P42" s="137"/>
      <c r="Q42" s="138"/>
    </row>
    <row r="43" spans="1:17" ht="18" customHeight="1">
      <c r="A43" s="174" t="s">
        <v>348</v>
      </c>
      <c r="B43" s="164" t="s">
        <v>225</v>
      </c>
      <c r="C43" s="176"/>
      <c r="D43" s="152" t="s">
        <v>385</v>
      </c>
      <c r="E43" s="153" t="s">
        <v>386</v>
      </c>
      <c r="F43" s="154" t="s">
        <v>292</v>
      </c>
      <c r="G43" s="162" t="s">
        <v>218</v>
      </c>
      <c r="H43" s="161">
        <v>1.5009999999999999</v>
      </c>
      <c r="I43" s="168">
        <v>1.52</v>
      </c>
      <c r="J43" s="136"/>
      <c r="K43" s="136"/>
      <c r="L43" s="136"/>
      <c r="M43" s="137"/>
      <c r="N43" s="137"/>
      <c r="O43" s="137"/>
      <c r="P43" s="137"/>
      <c r="Q43" s="138"/>
    </row>
    <row r="44" spans="1:17" ht="18" customHeight="1">
      <c r="A44" s="174" t="s">
        <v>349</v>
      </c>
      <c r="B44" s="164" t="s">
        <v>387</v>
      </c>
      <c r="C44" s="176" t="s">
        <v>389</v>
      </c>
      <c r="D44" s="152">
        <v>0.01</v>
      </c>
      <c r="E44" s="153" t="s">
        <v>394</v>
      </c>
      <c r="F44" s="154" t="s">
        <v>318</v>
      </c>
      <c r="G44" s="162" t="s">
        <v>218</v>
      </c>
      <c r="H44" s="161">
        <v>8.0000000000000002E-3</v>
      </c>
      <c r="I44" s="168">
        <v>0.01</v>
      </c>
      <c r="J44" s="136"/>
      <c r="K44" s="136"/>
      <c r="L44" s="136"/>
      <c r="M44" s="137"/>
      <c r="N44" s="137"/>
      <c r="O44" s="137"/>
      <c r="P44" s="137"/>
      <c r="Q44" s="138"/>
    </row>
    <row r="45" spans="1:17" ht="18" customHeight="1">
      <c r="A45" s="174" t="s">
        <v>350</v>
      </c>
      <c r="B45" s="164" t="s">
        <v>390</v>
      </c>
      <c r="C45" s="176"/>
      <c r="D45" s="152" t="s">
        <v>391</v>
      </c>
      <c r="E45" s="153" t="s">
        <v>392</v>
      </c>
      <c r="F45" s="154" t="s">
        <v>221</v>
      </c>
      <c r="G45" s="162" t="s">
        <v>218</v>
      </c>
      <c r="H45" s="161">
        <v>1.99</v>
      </c>
      <c r="I45" s="168">
        <v>2</v>
      </c>
      <c r="J45" s="136"/>
      <c r="K45" s="136"/>
      <c r="L45" s="136"/>
      <c r="M45" s="137"/>
      <c r="N45" s="137"/>
      <c r="O45" s="137"/>
      <c r="P45" s="137"/>
      <c r="Q45" s="138"/>
    </row>
    <row r="46" spans="1:17" ht="18" customHeight="1">
      <c r="A46" s="174" t="s">
        <v>351</v>
      </c>
      <c r="B46" s="164" t="s">
        <v>393</v>
      </c>
      <c r="C46" s="176" t="s">
        <v>389</v>
      </c>
      <c r="D46" s="152">
        <v>0.01</v>
      </c>
      <c r="E46" s="153" t="s">
        <v>394</v>
      </c>
      <c r="F46" s="154" t="s">
        <v>395</v>
      </c>
      <c r="G46" s="162" t="s">
        <v>218</v>
      </c>
      <c r="H46" s="161">
        <v>0.01</v>
      </c>
      <c r="I46" s="168">
        <v>0.01</v>
      </c>
      <c r="J46" s="136"/>
      <c r="K46" s="136"/>
      <c r="L46" s="136"/>
      <c r="M46" s="137"/>
      <c r="N46" s="137"/>
      <c r="O46" s="137"/>
      <c r="P46" s="137"/>
      <c r="Q46" s="138"/>
    </row>
    <row r="47" spans="1:17" ht="18" customHeight="1">
      <c r="A47" s="174" t="s">
        <v>352</v>
      </c>
      <c r="B47" s="164" t="s">
        <v>396</v>
      </c>
      <c r="C47" s="176" t="s">
        <v>329</v>
      </c>
      <c r="D47" s="152" t="s">
        <v>397</v>
      </c>
      <c r="E47" s="153" t="s">
        <v>399</v>
      </c>
      <c r="F47" s="154" t="s">
        <v>375</v>
      </c>
      <c r="G47" s="162" t="s">
        <v>218</v>
      </c>
      <c r="H47" s="161">
        <v>1.5189999999999999</v>
      </c>
      <c r="I47" s="168">
        <v>1.518</v>
      </c>
      <c r="J47" s="136"/>
      <c r="K47" s="136"/>
      <c r="L47" s="136"/>
      <c r="M47" s="137"/>
      <c r="N47" s="137"/>
      <c r="O47" s="137"/>
      <c r="P47" s="137"/>
      <c r="Q47" s="138"/>
    </row>
    <row r="48" spans="1:17" ht="18" customHeight="1">
      <c r="A48" s="174" t="s">
        <v>353</v>
      </c>
      <c r="B48" s="164" t="s">
        <v>400</v>
      </c>
      <c r="C48" s="176" t="s">
        <v>401</v>
      </c>
      <c r="D48" s="152">
        <v>1.7</v>
      </c>
      <c r="E48" s="153" t="s">
        <v>301</v>
      </c>
      <c r="F48" s="154" t="s">
        <v>290</v>
      </c>
      <c r="G48" s="162" t="s">
        <v>320</v>
      </c>
      <c r="H48" s="161">
        <v>1.7050000000000001</v>
      </c>
      <c r="I48" s="168">
        <v>1.7050000000000001</v>
      </c>
      <c r="J48" s="136"/>
      <c r="K48" s="136"/>
      <c r="L48" s="136"/>
      <c r="M48" s="137"/>
      <c r="N48" s="137"/>
      <c r="O48" s="137"/>
      <c r="P48" s="137"/>
      <c r="Q48" s="138"/>
    </row>
    <row r="49" spans="1:17" ht="18" customHeight="1">
      <c r="A49" s="174" t="s">
        <v>354</v>
      </c>
      <c r="B49" s="164" t="s">
        <v>400</v>
      </c>
      <c r="C49" s="176" t="s">
        <v>389</v>
      </c>
      <c r="D49" s="152">
        <v>0.01</v>
      </c>
      <c r="E49" s="153" t="s">
        <v>394</v>
      </c>
      <c r="F49" s="154" t="s">
        <v>405</v>
      </c>
      <c r="G49" s="162" t="s">
        <v>218</v>
      </c>
      <c r="H49" s="161">
        <v>0.01</v>
      </c>
      <c r="I49" s="168">
        <v>0.01</v>
      </c>
      <c r="J49" s="136"/>
      <c r="K49" s="136"/>
      <c r="L49" s="136"/>
      <c r="M49" s="137"/>
      <c r="N49" s="137"/>
      <c r="O49" s="137"/>
      <c r="P49" s="137"/>
      <c r="Q49" s="138"/>
    </row>
    <row r="50" spans="1:17" ht="18" customHeight="1">
      <c r="A50" s="174" t="s">
        <v>273</v>
      </c>
      <c r="B50" s="164" t="s">
        <v>402</v>
      </c>
      <c r="C50" s="176" t="s">
        <v>398</v>
      </c>
      <c r="D50" s="152">
        <v>1.9</v>
      </c>
      <c r="E50" s="153" t="s">
        <v>286</v>
      </c>
      <c r="F50" s="154" t="s">
        <v>288</v>
      </c>
      <c r="G50" s="162" t="s">
        <v>218</v>
      </c>
      <c r="H50" s="161">
        <v>1.895</v>
      </c>
      <c r="I50" s="168">
        <v>1.905</v>
      </c>
      <c r="J50" s="136"/>
      <c r="K50" s="136"/>
      <c r="L50" s="136"/>
      <c r="M50" s="137"/>
      <c r="N50" s="137"/>
      <c r="O50" s="137"/>
      <c r="P50" s="137"/>
      <c r="Q50" s="138"/>
    </row>
    <row r="51" spans="1:17" ht="18" customHeight="1">
      <c r="A51" s="174" t="s">
        <v>355</v>
      </c>
      <c r="B51" s="164" t="s">
        <v>403</v>
      </c>
      <c r="C51" s="176" t="s">
        <v>389</v>
      </c>
      <c r="D51" s="152">
        <v>0.02</v>
      </c>
      <c r="E51" s="153" t="s">
        <v>375</v>
      </c>
      <c r="F51" s="154" t="s">
        <v>221</v>
      </c>
      <c r="G51" s="162" t="s">
        <v>218</v>
      </c>
      <c r="H51" s="161">
        <v>0.01</v>
      </c>
      <c r="I51" s="168">
        <v>1.4999999999999999E-2</v>
      </c>
      <c r="J51" s="136"/>
      <c r="K51" s="136"/>
      <c r="L51" s="136"/>
      <c r="M51" s="137"/>
      <c r="N51" s="137"/>
      <c r="O51" s="137"/>
      <c r="P51" s="137"/>
      <c r="Q51" s="138"/>
    </row>
    <row r="52" spans="1:17" ht="18" customHeight="1">
      <c r="A52" s="174" t="s">
        <v>356</v>
      </c>
      <c r="B52" s="164" t="s">
        <v>282</v>
      </c>
      <c r="C52" s="176"/>
      <c r="D52" s="152">
        <v>2.8</v>
      </c>
      <c r="E52" s="153" t="s">
        <v>220</v>
      </c>
      <c r="F52" s="154" t="s">
        <v>404</v>
      </c>
      <c r="G52" s="162" t="s">
        <v>320</v>
      </c>
      <c r="H52" s="161">
        <v>2.7839999999999998</v>
      </c>
      <c r="I52" s="168">
        <v>2.8029999999999999</v>
      </c>
      <c r="J52" s="136"/>
      <c r="K52" s="136"/>
      <c r="L52" s="136"/>
      <c r="M52" s="137"/>
      <c r="N52" s="137"/>
      <c r="O52" s="137"/>
      <c r="P52" s="137"/>
      <c r="Q52" s="138"/>
    </row>
    <row r="53" spans="1:17" ht="18" customHeight="1">
      <c r="A53" s="174" t="s">
        <v>357</v>
      </c>
      <c r="B53" s="164" t="s">
        <v>406</v>
      </c>
      <c r="C53" s="175" t="s">
        <v>305</v>
      </c>
      <c r="D53" s="152">
        <v>0.01</v>
      </c>
      <c r="E53" s="153" t="s">
        <v>292</v>
      </c>
      <c r="F53" s="154" t="s">
        <v>318</v>
      </c>
      <c r="G53" s="162" t="s">
        <v>407</v>
      </c>
      <c r="H53" s="161">
        <v>8.2000000000000007E-3</v>
      </c>
      <c r="I53" s="168">
        <v>4.1999999999999997E-3</v>
      </c>
      <c r="J53" s="136"/>
      <c r="K53" s="136"/>
      <c r="L53" s="136"/>
      <c r="M53" s="137"/>
      <c r="N53" s="137"/>
      <c r="O53" s="137"/>
      <c r="P53" s="137"/>
      <c r="Q53" s="138"/>
    </row>
    <row r="54" spans="1:17" ht="18" customHeight="1">
      <c r="A54" s="174" t="s">
        <v>358</v>
      </c>
      <c r="B54" s="164" t="s">
        <v>224</v>
      </c>
      <c r="C54" s="176"/>
      <c r="D54" s="152">
        <v>0.01</v>
      </c>
      <c r="E54" s="153" t="s">
        <v>428</v>
      </c>
      <c r="F54" s="154" t="s">
        <v>370</v>
      </c>
      <c r="G54" s="162" t="s">
        <v>408</v>
      </c>
      <c r="H54" s="161">
        <v>4.1999999999999997E-3</v>
      </c>
      <c r="I54" s="168">
        <v>0.01</v>
      </c>
      <c r="J54" s="136"/>
      <c r="K54" s="136"/>
      <c r="L54" s="136"/>
      <c r="M54" s="137"/>
      <c r="N54" s="137"/>
      <c r="O54" s="137"/>
      <c r="P54" s="137"/>
      <c r="Q54" s="138"/>
    </row>
    <row r="55" spans="1:17" ht="18" customHeight="1">
      <c r="A55" s="174" t="s">
        <v>359</v>
      </c>
      <c r="B55" s="164" t="s">
        <v>409</v>
      </c>
      <c r="C55" s="176"/>
      <c r="D55" s="152">
        <v>0.5</v>
      </c>
      <c r="E55" s="153" t="s">
        <v>375</v>
      </c>
      <c r="F55" s="154" t="s">
        <v>410</v>
      </c>
      <c r="G55" s="162" t="s">
        <v>320</v>
      </c>
      <c r="H55" s="161">
        <v>0.48399999999999999</v>
      </c>
      <c r="I55" s="168">
        <v>0.48499999999999999</v>
      </c>
      <c r="J55" s="136"/>
      <c r="K55" s="136"/>
      <c r="L55" s="136"/>
      <c r="M55" s="137"/>
      <c r="N55" s="137"/>
      <c r="O55" s="137"/>
      <c r="P55" s="137"/>
      <c r="Q55" s="138"/>
    </row>
    <row r="56" spans="1:17" ht="18" customHeight="1">
      <c r="A56" s="174" t="s">
        <v>360</v>
      </c>
      <c r="B56" s="164" t="s">
        <v>411</v>
      </c>
      <c r="C56" s="176"/>
      <c r="D56" s="152">
        <v>2.02</v>
      </c>
      <c r="E56" s="153" t="s">
        <v>286</v>
      </c>
      <c r="F56" s="154" t="s">
        <v>288</v>
      </c>
      <c r="G56" s="162" t="s">
        <v>320</v>
      </c>
      <c r="H56" s="161">
        <v>2.0209999999999999</v>
      </c>
      <c r="I56" s="168">
        <v>2.02</v>
      </c>
      <c r="J56" s="136"/>
      <c r="K56" s="136"/>
      <c r="L56" s="136"/>
      <c r="M56" s="137"/>
      <c r="N56" s="137"/>
      <c r="O56" s="137"/>
      <c r="P56" s="137"/>
      <c r="Q56" s="138"/>
    </row>
    <row r="57" spans="1:17" ht="18" customHeight="1">
      <c r="A57" s="174" t="s">
        <v>361</v>
      </c>
      <c r="B57" s="164" t="s">
        <v>412</v>
      </c>
      <c r="C57" s="176"/>
      <c r="D57" s="152">
        <v>0.01</v>
      </c>
      <c r="E57" s="153" t="s">
        <v>394</v>
      </c>
      <c r="F57" s="154" t="s">
        <v>318</v>
      </c>
      <c r="G57" s="162" t="s">
        <v>408</v>
      </c>
      <c r="H57" s="161">
        <v>5.0000000000000001E-3</v>
      </c>
      <c r="I57" s="168">
        <v>7.0000000000000001E-3</v>
      </c>
      <c r="J57" s="136"/>
      <c r="K57" s="136"/>
      <c r="L57" s="136"/>
      <c r="M57" s="137"/>
      <c r="N57" s="137"/>
      <c r="O57" s="137"/>
      <c r="P57" s="137"/>
      <c r="Q57" s="138"/>
    </row>
    <row r="58" spans="1:17" ht="18" customHeight="1">
      <c r="A58" s="174" t="s">
        <v>362</v>
      </c>
      <c r="B58" s="164" t="s">
        <v>413</v>
      </c>
      <c r="C58" s="176"/>
      <c r="D58" s="152" t="s">
        <v>414</v>
      </c>
      <c r="E58" s="153" t="s">
        <v>286</v>
      </c>
      <c r="F58" s="154" t="s">
        <v>288</v>
      </c>
      <c r="G58" s="162" t="s">
        <v>218</v>
      </c>
      <c r="H58" s="161">
        <v>0.26800000000000002</v>
      </c>
      <c r="I58" s="168">
        <v>0.27100000000000002</v>
      </c>
      <c r="J58" s="136"/>
      <c r="K58" s="136"/>
      <c r="L58" s="136"/>
      <c r="M58" s="137"/>
      <c r="N58" s="137"/>
      <c r="O58" s="137"/>
      <c r="P58" s="137"/>
      <c r="Q58" s="138"/>
    </row>
    <row r="59" spans="1:17" ht="18" customHeight="1">
      <c r="A59" s="174" t="s">
        <v>363</v>
      </c>
      <c r="B59" s="164" t="s">
        <v>415</v>
      </c>
      <c r="C59" s="176"/>
      <c r="D59" s="152" t="s">
        <v>416</v>
      </c>
      <c r="E59" s="153" t="s">
        <v>429</v>
      </c>
      <c r="F59" s="154" t="s">
        <v>430</v>
      </c>
      <c r="G59" s="162" t="s">
        <v>218</v>
      </c>
      <c r="H59" s="177">
        <v>60</v>
      </c>
      <c r="I59" s="178">
        <v>59.6</v>
      </c>
      <c r="J59" s="136"/>
      <c r="K59" s="136"/>
      <c r="L59" s="136"/>
      <c r="M59" s="137"/>
      <c r="N59" s="137"/>
      <c r="O59" s="137"/>
      <c r="P59" s="137"/>
      <c r="Q59" s="138"/>
    </row>
    <row r="60" spans="1:17" ht="18" customHeight="1">
      <c r="A60" s="174" t="s">
        <v>364</v>
      </c>
      <c r="B60" s="164" t="s">
        <v>418</v>
      </c>
      <c r="C60" s="176"/>
      <c r="D60" s="152" t="s">
        <v>417</v>
      </c>
      <c r="E60" s="153" t="s">
        <v>429</v>
      </c>
      <c r="F60" s="154" t="s">
        <v>430</v>
      </c>
      <c r="G60" s="162" t="s">
        <v>218</v>
      </c>
      <c r="H60" s="177">
        <v>45.5</v>
      </c>
      <c r="I60" s="178">
        <v>45.4</v>
      </c>
      <c r="J60" s="136"/>
      <c r="K60" s="136"/>
      <c r="L60" s="136"/>
      <c r="M60" s="137"/>
      <c r="N60" s="137"/>
      <c r="O60" s="137"/>
      <c r="P60" s="137"/>
      <c r="Q60" s="138"/>
    </row>
    <row r="61" spans="1:17" ht="18" customHeight="1">
      <c r="A61" s="174" t="s">
        <v>365</v>
      </c>
      <c r="B61" s="164" t="s">
        <v>335</v>
      </c>
      <c r="C61" s="132"/>
      <c r="D61" s="152">
        <v>0.2</v>
      </c>
      <c r="E61" s="153" t="s">
        <v>286</v>
      </c>
      <c r="F61" s="154" t="s">
        <v>288</v>
      </c>
      <c r="G61" s="162" t="s">
        <v>218</v>
      </c>
      <c r="H61" s="161">
        <v>0.18099999999999999</v>
      </c>
      <c r="I61" s="168">
        <v>0.185</v>
      </c>
      <c r="J61" s="136"/>
      <c r="K61" s="136"/>
      <c r="L61" s="136"/>
      <c r="M61" s="137"/>
      <c r="N61" s="137"/>
      <c r="O61" s="137"/>
      <c r="P61" s="137"/>
      <c r="Q61" s="138"/>
    </row>
    <row r="62" spans="1:17" ht="18" customHeight="1">
      <c r="A62" s="174" t="s">
        <v>366</v>
      </c>
      <c r="B62" s="164" t="s">
        <v>419</v>
      </c>
      <c r="C62" s="132"/>
      <c r="D62" s="155" t="s">
        <v>420</v>
      </c>
      <c r="E62" s="153" t="s">
        <v>399</v>
      </c>
      <c r="F62" s="154" t="s">
        <v>421</v>
      </c>
      <c r="G62" s="162" t="s">
        <v>320</v>
      </c>
      <c r="H62" s="161">
        <v>1.71</v>
      </c>
      <c r="I62" s="168">
        <v>1.7050000000000001</v>
      </c>
      <c r="J62" s="140"/>
      <c r="K62" s="140"/>
      <c r="L62" s="140"/>
      <c r="M62" s="141"/>
      <c r="N62" s="141"/>
      <c r="O62" s="141"/>
      <c r="P62" s="141"/>
      <c r="Q62" s="142"/>
    </row>
    <row r="63" spans="1:17" ht="18" customHeight="1">
      <c r="A63" s="174" t="s">
        <v>367</v>
      </c>
      <c r="B63" s="164" t="s">
        <v>422</v>
      </c>
      <c r="C63" s="132"/>
      <c r="D63" s="155">
        <v>14</v>
      </c>
      <c r="E63" s="153" t="s">
        <v>286</v>
      </c>
      <c r="F63" s="154" t="s">
        <v>288</v>
      </c>
      <c r="G63" s="162" t="s">
        <v>218</v>
      </c>
      <c r="H63" s="161">
        <v>14.02</v>
      </c>
      <c r="I63" s="168">
        <v>14.04</v>
      </c>
      <c r="J63" s="140"/>
      <c r="K63" s="140"/>
      <c r="L63" s="140"/>
      <c r="M63" s="141"/>
      <c r="N63" s="141"/>
      <c r="O63" s="141"/>
      <c r="P63" s="141"/>
      <c r="Q63" s="142"/>
    </row>
    <row r="64" spans="1:17" ht="18" customHeight="1">
      <c r="A64" s="174" t="s">
        <v>368</v>
      </c>
      <c r="B64" s="164" t="s">
        <v>423</v>
      </c>
      <c r="C64" s="132"/>
      <c r="D64" s="155">
        <v>16</v>
      </c>
      <c r="E64" s="153" t="s">
        <v>286</v>
      </c>
      <c r="F64" s="154" t="s">
        <v>288</v>
      </c>
      <c r="G64" s="162" t="s">
        <v>218</v>
      </c>
      <c r="H64" s="161">
        <v>16.04</v>
      </c>
      <c r="I64" s="168">
        <v>16.03</v>
      </c>
      <c r="J64" s="140"/>
      <c r="K64" s="140"/>
      <c r="L64" s="140"/>
      <c r="M64" s="141"/>
      <c r="N64" s="141"/>
      <c r="O64" s="141"/>
      <c r="P64" s="141"/>
      <c r="Q64" s="142"/>
    </row>
    <row r="65" spans="1:17" s="7" customFormat="1" ht="67.5" customHeight="1" thickBot="1">
      <c r="A65" s="223" t="s">
        <v>241</v>
      </c>
      <c r="B65" s="235"/>
      <c r="C65" s="235"/>
      <c r="D65" s="224"/>
      <c r="E65" s="236" t="s">
        <v>242</v>
      </c>
      <c r="F65" s="236"/>
      <c r="G65" s="122" t="s">
        <v>243</v>
      </c>
      <c r="H65" s="123" t="s">
        <v>161</v>
      </c>
      <c r="I65" s="169" t="s">
        <v>161</v>
      </c>
      <c r="J65" s="143"/>
      <c r="K65" s="143"/>
      <c r="L65" s="143"/>
      <c r="M65" s="143"/>
      <c r="N65" s="143"/>
      <c r="O65" s="143"/>
      <c r="P65" s="143"/>
      <c r="Q65" s="144"/>
    </row>
    <row r="66" spans="1:17" ht="20.100000000000001" customHeight="1">
      <c r="A66" s="237" t="s">
        <v>244</v>
      </c>
      <c r="B66" s="238"/>
      <c r="C66" s="239"/>
      <c r="D66" s="239"/>
      <c r="E66" s="239"/>
      <c r="F66" s="239"/>
      <c r="G66" s="239"/>
      <c r="H66" s="124" t="s">
        <v>161</v>
      </c>
      <c r="I66" s="170" t="s">
        <v>161</v>
      </c>
      <c r="J66" s="145"/>
      <c r="K66" s="145"/>
      <c r="L66" s="145"/>
      <c r="M66" s="145"/>
      <c r="N66" s="145"/>
      <c r="O66" s="145"/>
      <c r="P66" s="145"/>
      <c r="Q66" s="146"/>
    </row>
    <row r="67" spans="1:17" ht="20.100000000000001" customHeight="1" thickBot="1">
      <c r="A67" s="240" t="s">
        <v>228</v>
      </c>
      <c r="B67" s="241"/>
      <c r="C67" s="241"/>
      <c r="D67" s="241"/>
      <c r="E67" s="241"/>
      <c r="F67" s="241"/>
      <c r="G67" s="241"/>
      <c r="H67" s="121"/>
      <c r="I67" s="147"/>
      <c r="J67" s="147"/>
      <c r="K67" s="147"/>
      <c r="L67" s="147"/>
      <c r="M67" s="147"/>
      <c r="N67" s="147"/>
      <c r="O67" s="147"/>
      <c r="P67" s="147"/>
      <c r="Q67" s="148"/>
    </row>
    <row r="68" spans="1:17">
      <c r="A68" s="242" t="s">
        <v>15</v>
      </c>
      <c r="B68" s="243"/>
      <c r="C68" s="244"/>
      <c r="D68" s="244"/>
      <c r="E68" s="244"/>
      <c r="F68" s="244"/>
      <c r="G68" s="244"/>
      <c r="H68" s="8"/>
      <c r="I68" s="9"/>
      <c r="J68" s="9"/>
      <c r="K68" s="9"/>
      <c r="L68" s="9"/>
      <c r="M68" s="9"/>
      <c r="N68" s="9"/>
      <c r="O68" s="9"/>
      <c r="P68" s="9"/>
      <c r="Q68" s="10"/>
    </row>
    <row r="69" spans="1:17" ht="17.25" thickBot="1">
      <c r="A69" s="11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3"/>
    </row>
    <row r="70" spans="1:17" ht="35.1" customHeight="1">
      <c r="A70" s="228" t="s">
        <v>144</v>
      </c>
      <c r="B70" s="229"/>
      <c r="C70" s="230"/>
      <c r="D70" s="230"/>
      <c r="E70" s="230"/>
      <c r="F70" s="230"/>
      <c r="G70" s="230"/>
      <c r="H70" s="230"/>
      <c r="I70" s="230"/>
      <c r="J70" s="230"/>
      <c r="K70" s="230"/>
      <c r="L70" s="230"/>
      <c r="M70" s="230"/>
      <c r="N70" s="230"/>
      <c r="O70" s="230"/>
      <c r="P70" s="230"/>
      <c r="Q70" s="231"/>
    </row>
    <row r="71" spans="1:17" ht="21.75" customHeight="1" thickBot="1">
      <c r="A71" s="232"/>
      <c r="B71" s="233"/>
      <c r="C71" s="233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4"/>
    </row>
  </sheetData>
  <mergeCells count="34">
    <mergeCell ref="A70:Q71"/>
    <mergeCell ref="A65:D65"/>
    <mergeCell ref="E65:F65"/>
    <mergeCell ref="A66:G66"/>
    <mergeCell ref="A67:G67"/>
    <mergeCell ref="A68:G68"/>
    <mergeCell ref="H6:Q6"/>
    <mergeCell ref="D6:D7"/>
    <mergeCell ref="E6:F7"/>
    <mergeCell ref="G6:G7"/>
    <mergeCell ref="A6:A7"/>
    <mergeCell ref="B6:B7"/>
    <mergeCell ref="C6:C7"/>
    <mergeCell ref="O5:Q5"/>
    <mergeCell ref="A4:C4"/>
    <mergeCell ref="E4:F4"/>
    <mergeCell ref="H4:I4"/>
    <mergeCell ref="J4:K4"/>
    <mergeCell ref="L4:N4"/>
    <mergeCell ref="O4:Q4"/>
    <mergeCell ref="A5:C5"/>
    <mergeCell ref="E5:F5"/>
    <mergeCell ref="H5:I5"/>
    <mergeCell ref="J5:K5"/>
    <mergeCell ref="L5:N5"/>
    <mergeCell ref="D1:O1"/>
    <mergeCell ref="P1:Q2"/>
    <mergeCell ref="D2:O2"/>
    <mergeCell ref="A3:C3"/>
    <mergeCell ref="E3:F3"/>
    <mergeCell ref="H3:I3"/>
    <mergeCell ref="J3:K3"/>
    <mergeCell ref="L3:N3"/>
    <mergeCell ref="O3:Q3"/>
  </mergeCells>
  <phoneticPr fontId="1" type="noConversion"/>
  <conditionalFormatting sqref="H65:Q65">
    <cfRule type="cellIs" dxfId="277" priority="5087" stopIfTrue="1" operator="equal">
      <formula>"NG"</formula>
    </cfRule>
  </conditionalFormatting>
  <conditionalFormatting sqref="H8">
    <cfRule type="cellIs" dxfId="276" priority="435" stopIfTrue="1" operator="lessThan">
      <formula>D8+F8</formula>
    </cfRule>
    <cfRule type="cellIs" dxfId="275" priority="436" stopIfTrue="1" operator="greaterThan">
      <formula>D8+E8</formula>
    </cfRule>
  </conditionalFormatting>
  <conditionalFormatting sqref="I8">
    <cfRule type="cellIs" dxfId="274" priority="433" stopIfTrue="1" operator="lessThan">
      <formula>D8+F8</formula>
    </cfRule>
    <cfRule type="cellIs" dxfId="273" priority="434" stopIfTrue="1" operator="greaterThan">
      <formula>D8+E8</formula>
    </cfRule>
  </conditionalFormatting>
  <conditionalFormatting sqref="J8">
    <cfRule type="cellIs" dxfId="272" priority="431" stopIfTrue="1" operator="lessThan">
      <formula>D8+F8</formula>
    </cfRule>
    <cfRule type="cellIs" dxfId="271" priority="432" stopIfTrue="1" operator="greaterThan">
      <formula>D8+E8</formula>
    </cfRule>
  </conditionalFormatting>
  <conditionalFormatting sqref="K8">
    <cfRule type="cellIs" dxfId="270" priority="429" stopIfTrue="1" operator="lessThan">
      <formula>D8+F8</formula>
    </cfRule>
    <cfRule type="cellIs" dxfId="269" priority="430" stopIfTrue="1" operator="greaterThan">
      <formula>D8+E8</formula>
    </cfRule>
  </conditionalFormatting>
  <conditionalFormatting sqref="L8">
    <cfRule type="cellIs" dxfId="268" priority="427" stopIfTrue="1" operator="lessThan">
      <formula>D8+F8</formula>
    </cfRule>
    <cfRule type="cellIs" dxfId="267" priority="428" stopIfTrue="1" operator="greaterThan">
      <formula>D8+E8</formula>
    </cfRule>
  </conditionalFormatting>
  <conditionalFormatting sqref="M8">
    <cfRule type="cellIs" dxfId="266" priority="425" stopIfTrue="1" operator="lessThan">
      <formula>D8+F8</formula>
    </cfRule>
    <cfRule type="cellIs" dxfId="265" priority="426" stopIfTrue="1" operator="greaterThan">
      <formula>D8+E8</formula>
    </cfRule>
  </conditionalFormatting>
  <conditionalFormatting sqref="N8">
    <cfRule type="cellIs" dxfId="264" priority="423" stopIfTrue="1" operator="lessThan">
      <formula>D8+F8</formula>
    </cfRule>
    <cfRule type="cellIs" dxfId="263" priority="424" stopIfTrue="1" operator="greaterThan">
      <formula>D8+E8</formula>
    </cfRule>
  </conditionalFormatting>
  <conditionalFormatting sqref="O8">
    <cfRule type="cellIs" dxfId="262" priority="421" stopIfTrue="1" operator="lessThan">
      <formula>D8+F8</formula>
    </cfRule>
    <cfRule type="cellIs" dxfId="261" priority="422" stopIfTrue="1" operator="greaterThan">
      <formula>D8+E8</formula>
    </cfRule>
  </conditionalFormatting>
  <conditionalFormatting sqref="P8">
    <cfRule type="cellIs" dxfId="260" priority="419" stopIfTrue="1" operator="lessThan">
      <formula>D8+F8</formula>
    </cfRule>
    <cfRule type="cellIs" dxfId="259" priority="420" stopIfTrue="1" operator="greaterThan">
      <formula>D8+E8</formula>
    </cfRule>
  </conditionalFormatting>
  <conditionalFormatting sqref="Q8 Q13:Q64">
    <cfRule type="cellIs" dxfId="258" priority="418" stopIfTrue="1" operator="greaterThan">
      <formula>D8+E8</formula>
    </cfRule>
  </conditionalFormatting>
  <conditionalFormatting sqref="Q8 Q13:Q64">
    <cfRule type="cellIs" dxfId="257" priority="417" stopIfTrue="1" operator="lessThan">
      <formula>D8+F8</formula>
    </cfRule>
  </conditionalFormatting>
  <conditionalFormatting sqref="H9">
    <cfRule type="cellIs" dxfId="256" priority="416" stopIfTrue="1" operator="greaterThan">
      <formula>D9+E9</formula>
    </cfRule>
  </conditionalFormatting>
  <conditionalFormatting sqref="H9">
    <cfRule type="cellIs" dxfId="255" priority="415" stopIfTrue="1" operator="lessThan">
      <formula>D9+F9</formula>
    </cfRule>
  </conditionalFormatting>
  <conditionalFormatting sqref="I9">
    <cfRule type="cellIs" dxfId="254" priority="414" stopIfTrue="1" operator="greaterThan">
      <formula>D9+E9</formula>
    </cfRule>
  </conditionalFormatting>
  <conditionalFormatting sqref="I9">
    <cfRule type="cellIs" dxfId="253" priority="413" stopIfTrue="1" operator="lessThan">
      <formula>D9+F9</formula>
    </cfRule>
  </conditionalFormatting>
  <conditionalFormatting sqref="J9 J62:J64">
    <cfRule type="cellIs" dxfId="252" priority="412" stopIfTrue="1" operator="greaterThan">
      <formula>D9+E9</formula>
    </cfRule>
  </conditionalFormatting>
  <conditionalFormatting sqref="J9 J62:J64">
    <cfRule type="cellIs" dxfId="251" priority="411" stopIfTrue="1" operator="lessThan">
      <formula>D9+F9</formula>
    </cfRule>
  </conditionalFormatting>
  <conditionalFormatting sqref="K9 K62:K64">
    <cfRule type="cellIs" dxfId="250" priority="410" stopIfTrue="1" operator="greaterThan">
      <formula>D9+E9</formula>
    </cfRule>
  </conditionalFormatting>
  <conditionalFormatting sqref="K9 K62:K64">
    <cfRule type="cellIs" dxfId="249" priority="409" stopIfTrue="1" operator="lessThan">
      <formula>D9+F9</formula>
    </cfRule>
  </conditionalFormatting>
  <conditionalFormatting sqref="L9 L62:L64">
    <cfRule type="cellIs" dxfId="248" priority="408" stopIfTrue="1" operator="greaterThan">
      <formula>D9+E9</formula>
    </cfRule>
  </conditionalFormatting>
  <conditionalFormatting sqref="L9 L62:L64">
    <cfRule type="cellIs" dxfId="247" priority="407" stopIfTrue="1" operator="lessThan">
      <formula>D9+F9</formula>
    </cfRule>
  </conditionalFormatting>
  <conditionalFormatting sqref="M9 M13:M64">
    <cfRule type="cellIs" dxfId="246" priority="406" stopIfTrue="1" operator="greaterThan">
      <formula>D9+E9</formula>
    </cfRule>
  </conditionalFormatting>
  <conditionalFormatting sqref="M9 M13:M64">
    <cfRule type="cellIs" dxfId="245" priority="405" stopIfTrue="1" operator="lessThan">
      <formula>D9+F9</formula>
    </cfRule>
  </conditionalFormatting>
  <conditionalFormatting sqref="N9 N13:N64">
    <cfRule type="cellIs" dxfId="244" priority="404" stopIfTrue="1" operator="greaterThan">
      <formula>D9+E9</formula>
    </cfRule>
  </conditionalFormatting>
  <conditionalFormatting sqref="N9 N13:N64">
    <cfRule type="cellIs" dxfId="243" priority="403" stopIfTrue="1" operator="lessThan">
      <formula>D9+F9</formula>
    </cfRule>
  </conditionalFormatting>
  <conditionalFormatting sqref="O9 O13:O64">
    <cfRule type="cellIs" dxfId="242" priority="402" stopIfTrue="1" operator="greaterThan">
      <formula>D9+E9</formula>
    </cfRule>
  </conditionalFormatting>
  <conditionalFormatting sqref="O9 O13:O64">
    <cfRule type="cellIs" dxfId="241" priority="401" stopIfTrue="1" operator="lessThan">
      <formula>D9+F9</formula>
    </cfRule>
  </conditionalFormatting>
  <conditionalFormatting sqref="P9 P13:P64">
    <cfRule type="cellIs" dxfId="240" priority="400" stopIfTrue="1" operator="greaterThan">
      <formula>D9+E9</formula>
    </cfRule>
  </conditionalFormatting>
  <conditionalFormatting sqref="P9 P13:P64">
    <cfRule type="cellIs" dxfId="239" priority="399" stopIfTrue="1" operator="lessThan">
      <formula>D9+F9</formula>
    </cfRule>
  </conditionalFormatting>
  <conditionalFormatting sqref="Q9">
    <cfRule type="cellIs" dxfId="238" priority="398" stopIfTrue="1" operator="greaterThan">
      <formula>D9+E9</formula>
    </cfRule>
  </conditionalFormatting>
  <conditionalFormatting sqref="Q9">
    <cfRule type="cellIs" dxfId="237" priority="397" stopIfTrue="1" operator="lessThan">
      <formula>D9+F9</formula>
    </cfRule>
  </conditionalFormatting>
  <conditionalFormatting sqref="H10">
    <cfRule type="cellIs" dxfId="236" priority="396" stopIfTrue="1" operator="greaterThan">
      <formula>D10+E10</formula>
    </cfRule>
  </conditionalFormatting>
  <conditionalFormatting sqref="H10">
    <cfRule type="cellIs" dxfId="235" priority="395" stopIfTrue="1" operator="lessThan">
      <formula>D10+F10</formula>
    </cfRule>
  </conditionalFormatting>
  <conditionalFormatting sqref="I10">
    <cfRule type="cellIs" dxfId="234" priority="394" stopIfTrue="1" operator="greaterThan">
      <formula>D10+E10</formula>
    </cfRule>
  </conditionalFormatting>
  <conditionalFormatting sqref="I10">
    <cfRule type="cellIs" dxfId="233" priority="393" stopIfTrue="1" operator="lessThan">
      <formula>D10+F10</formula>
    </cfRule>
  </conditionalFormatting>
  <conditionalFormatting sqref="J10">
    <cfRule type="cellIs" dxfId="232" priority="392" stopIfTrue="1" operator="greaterThan">
      <formula>D10+E10</formula>
    </cfRule>
  </conditionalFormatting>
  <conditionalFormatting sqref="J10">
    <cfRule type="cellIs" dxfId="231" priority="391" stopIfTrue="1" operator="lessThan">
      <formula>D10+F10</formula>
    </cfRule>
  </conditionalFormatting>
  <conditionalFormatting sqref="K10">
    <cfRule type="cellIs" dxfId="230" priority="390" stopIfTrue="1" operator="greaterThan">
      <formula>D10+E10</formula>
    </cfRule>
  </conditionalFormatting>
  <conditionalFormatting sqref="K10">
    <cfRule type="cellIs" dxfId="229" priority="389" stopIfTrue="1" operator="lessThan">
      <formula>D10+F10</formula>
    </cfRule>
  </conditionalFormatting>
  <conditionalFormatting sqref="L10">
    <cfRule type="cellIs" dxfId="228" priority="388" stopIfTrue="1" operator="greaterThan">
      <formula>D10+E10</formula>
    </cfRule>
  </conditionalFormatting>
  <conditionalFormatting sqref="L10">
    <cfRule type="cellIs" dxfId="227" priority="387" stopIfTrue="1" operator="lessThan">
      <formula>D10+F10</formula>
    </cfRule>
  </conditionalFormatting>
  <conditionalFormatting sqref="M10">
    <cfRule type="cellIs" dxfId="226" priority="386" stopIfTrue="1" operator="greaterThan">
      <formula>D10+E10</formula>
    </cfRule>
  </conditionalFormatting>
  <conditionalFormatting sqref="M10">
    <cfRule type="cellIs" dxfId="225" priority="385" stopIfTrue="1" operator="lessThan">
      <formula>D10+F10</formula>
    </cfRule>
  </conditionalFormatting>
  <conditionalFormatting sqref="N10">
    <cfRule type="cellIs" dxfId="224" priority="384" stopIfTrue="1" operator="greaterThan">
      <formula>D10+E10</formula>
    </cfRule>
  </conditionalFormatting>
  <conditionalFormatting sqref="N10">
    <cfRule type="cellIs" dxfId="223" priority="383" stopIfTrue="1" operator="lessThan">
      <formula>D10+F10</formula>
    </cfRule>
  </conditionalFormatting>
  <conditionalFormatting sqref="O10">
    <cfRule type="cellIs" dxfId="222" priority="382" stopIfTrue="1" operator="greaterThan">
      <formula>D10+E10</formula>
    </cfRule>
  </conditionalFormatting>
  <conditionalFormatting sqref="O10">
    <cfRule type="cellIs" dxfId="221" priority="381" stopIfTrue="1" operator="lessThan">
      <formula>D10+F10</formula>
    </cfRule>
  </conditionalFormatting>
  <conditionalFormatting sqref="P10">
    <cfRule type="cellIs" dxfId="220" priority="380" stopIfTrue="1" operator="greaterThan">
      <formula>D10+E10</formula>
    </cfRule>
  </conditionalFormatting>
  <conditionalFormatting sqref="P10">
    <cfRule type="cellIs" dxfId="219" priority="379" stopIfTrue="1" operator="lessThan">
      <formula>D10+F10</formula>
    </cfRule>
  </conditionalFormatting>
  <conditionalFormatting sqref="Q10">
    <cfRule type="cellIs" dxfId="218" priority="378" stopIfTrue="1" operator="greaterThan">
      <formula>D10+E10</formula>
    </cfRule>
  </conditionalFormatting>
  <conditionalFormatting sqref="Q10">
    <cfRule type="cellIs" dxfId="217" priority="377" stopIfTrue="1" operator="lessThan">
      <formula>D10+F10</formula>
    </cfRule>
  </conditionalFormatting>
  <conditionalFormatting sqref="H11">
    <cfRule type="cellIs" dxfId="216" priority="376" stopIfTrue="1" operator="greaterThan">
      <formula>D11+E11</formula>
    </cfRule>
  </conditionalFormatting>
  <conditionalFormatting sqref="H11">
    <cfRule type="cellIs" dxfId="215" priority="375" stopIfTrue="1" operator="lessThan">
      <formula>D11+F11</formula>
    </cfRule>
  </conditionalFormatting>
  <conditionalFormatting sqref="I11">
    <cfRule type="cellIs" dxfId="214" priority="374" stopIfTrue="1" operator="greaterThan">
      <formula>D11+E11</formula>
    </cfRule>
  </conditionalFormatting>
  <conditionalFormatting sqref="I11">
    <cfRule type="cellIs" dxfId="213" priority="373" stopIfTrue="1" operator="lessThan">
      <formula>D11+F11</formula>
    </cfRule>
  </conditionalFormatting>
  <conditionalFormatting sqref="J11">
    <cfRule type="cellIs" dxfId="212" priority="372" stopIfTrue="1" operator="greaterThan">
      <formula>D11+E11</formula>
    </cfRule>
  </conditionalFormatting>
  <conditionalFormatting sqref="J11">
    <cfRule type="cellIs" dxfId="211" priority="371" stopIfTrue="1" operator="lessThan">
      <formula>D11+F11</formula>
    </cfRule>
  </conditionalFormatting>
  <conditionalFormatting sqref="K11">
    <cfRule type="cellIs" dxfId="210" priority="370" stopIfTrue="1" operator="greaterThan">
      <formula>D11+E11</formula>
    </cfRule>
  </conditionalFormatting>
  <conditionalFormatting sqref="K11">
    <cfRule type="cellIs" dxfId="209" priority="369" stopIfTrue="1" operator="lessThan">
      <formula>D11+F11</formula>
    </cfRule>
  </conditionalFormatting>
  <conditionalFormatting sqref="L11">
    <cfRule type="cellIs" dxfId="208" priority="368" stopIfTrue="1" operator="greaterThan">
      <formula>D11+E11</formula>
    </cfRule>
  </conditionalFormatting>
  <conditionalFormatting sqref="L11">
    <cfRule type="cellIs" dxfId="207" priority="367" stopIfTrue="1" operator="lessThan">
      <formula>D11+F11</formula>
    </cfRule>
  </conditionalFormatting>
  <conditionalFormatting sqref="M11">
    <cfRule type="cellIs" dxfId="206" priority="366" stopIfTrue="1" operator="greaterThan">
      <formula>D11+E11</formula>
    </cfRule>
  </conditionalFormatting>
  <conditionalFormatting sqref="M11">
    <cfRule type="cellIs" dxfId="205" priority="365" stopIfTrue="1" operator="lessThan">
      <formula>D11+F11</formula>
    </cfRule>
  </conditionalFormatting>
  <conditionalFormatting sqref="N11">
    <cfRule type="cellIs" dxfId="204" priority="364" stopIfTrue="1" operator="greaterThan">
      <formula>D11+E11</formula>
    </cfRule>
  </conditionalFormatting>
  <conditionalFormatting sqref="N11">
    <cfRule type="cellIs" dxfId="203" priority="363" stopIfTrue="1" operator="lessThan">
      <formula>D11+F11</formula>
    </cfRule>
  </conditionalFormatting>
  <conditionalFormatting sqref="O11">
    <cfRule type="cellIs" dxfId="202" priority="362" stopIfTrue="1" operator="greaterThan">
      <formula>D11+E11</formula>
    </cfRule>
  </conditionalFormatting>
  <conditionalFormatting sqref="O11">
    <cfRule type="cellIs" dxfId="201" priority="361" stopIfTrue="1" operator="lessThan">
      <formula>D11+F11</formula>
    </cfRule>
  </conditionalFormatting>
  <conditionalFormatting sqref="P11">
    <cfRule type="cellIs" dxfId="200" priority="360" stopIfTrue="1" operator="greaterThan">
      <formula>D11+E11</formula>
    </cfRule>
  </conditionalFormatting>
  <conditionalFormatting sqref="P11">
    <cfRule type="cellIs" dxfId="199" priority="359" stopIfTrue="1" operator="lessThan">
      <formula>D11+F11</formula>
    </cfRule>
  </conditionalFormatting>
  <conditionalFormatting sqref="Q11">
    <cfRule type="cellIs" dxfId="198" priority="358" stopIfTrue="1" operator="greaterThan">
      <formula>D11+E11</formula>
    </cfRule>
  </conditionalFormatting>
  <conditionalFormatting sqref="Q11">
    <cfRule type="cellIs" dxfId="197" priority="357" stopIfTrue="1" operator="lessThan">
      <formula>D11+F11</formula>
    </cfRule>
  </conditionalFormatting>
  <conditionalFormatting sqref="H12">
    <cfRule type="cellIs" dxfId="196" priority="356" stopIfTrue="1" operator="greaterThan">
      <formula>D12+E12</formula>
    </cfRule>
  </conditionalFormatting>
  <conditionalFormatting sqref="H12">
    <cfRule type="cellIs" dxfId="195" priority="355" stopIfTrue="1" operator="lessThan">
      <formula>D12+F12</formula>
    </cfRule>
  </conditionalFormatting>
  <conditionalFormatting sqref="I12">
    <cfRule type="cellIs" dxfId="194" priority="354" stopIfTrue="1" operator="greaterThan">
      <formula>D12+E12</formula>
    </cfRule>
  </conditionalFormatting>
  <conditionalFormatting sqref="I12">
    <cfRule type="cellIs" dxfId="193" priority="353" stopIfTrue="1" operator="lessThan">
      <formula>D12+F12</formula>
    </cfRule>
  </conditionalFormatting>
  <conditionalFormatting sqref="J12">
    <cfRule type="cellIs" dxfId="192" priority="352" stopIfTrue="1" operator="greaterThan">
      <formula>D12+E12</formula>
    </cfRule>
  </conditionalFormatting>
  <conditionalFormatting sqref="J12">
    <cfRule type="cellIs" dxfId="191" priority="351" stopIfTrue="1" operator="lessThan">
      <formula>D12+F12</formula>
    </cfRule>
  </conditionalFormatting>
  <conditionalFormatting sqref="K12">
    <cfRule type="cellIs" dxfId="190" priority="350" stopIfTrue="1" operator="greaterThan">
      <formula>D12+E12</formula>
    </cfRule>
  </conditionalFormatting>
  <conditionalFormatting sqref="K12">
    <cfRule type="cellIs" dxfId="189" priority="349" stopIfTrue="1" operator="lessThan">
      <formula>D12+F12</formula>
    </cfRule>
  </conditionalFormatting>
  <conditionalFormatting sqref="L12">
    <cfRule type="cellIs" dxfId="188" priority="348" stopIfTrue="1" operator="greaterThan">
      <formula>D12+E12</formula>
    </cfRule>
  </conditionalFormatting>
  <conditionalFormatting sqref="L12">
    <cfRule type="cellIs" dxfId="187" priority="347" stopIfTrue="1" operator="lessThan">
      <formula>D12+F12</formula>
    </cfRule>
  </conditionalFormatting>
  <conditionalFormatting sqref="M12">
    <cfRule type="cellIs" dxfId="186" priority="346" stopIfTrue="1" operator="greaterThan">
      <formula>D12+E12</formula>
    </cfRule>
  </conditionalFormatting>
  <conditionalFormatting sqref="M12">
    <cfRule type="cellIs" dxfId="185" priority="345" stopIfTrue="1" operator="lessThan">
      <formula>D12+F12</formula>
    </cfRule>
  </conditionalFormatting>
  <conditionalFormatting sqref="N12">
    <cfRule type="cellIs" dxfId="184" priority="344" stopIfTrue="1" operator="greaterThan">
      <formula>D12+E12</formula>
    </cfRule>
  </conditionalFormatting>
  <conditionalFormatting sqref="N12">
    <cfRule type="cellIs" dxfId="183" priority="343" stopIfTrue="1" operator="lessThan">
      <formula>D12+F12</formula>
    </cfRule>
  </conditionalFormatting>
  <conditionalFormatting sqref="O12">
    <cfRule type="cellIs" dxfId="182" priority="342" stopIfTrue="1" operator="greaterThan">
      <formula>D12+E12</formula>
    </cfRule>
  </conditionalFormatting>
  <conditionalFormatting sqref="O12">
    <cfRule type="cellIs" dxfId="181" priority="341" stopIfTrue="1" operator="lessThan">
      <formula>D12+F12</formula>
    </cfRule>
  </conditionalFormatting>
  <conditionalFormatting sqref="P12">
    <cfRule type="cellIs" dxfId="180" priority="340" stopIfTrue="1" operator="greaterThan">
      <formula>D12+E12</formula>
    </cfRule>
  </conditionalFormatting>
  <conditionalFormatting sqref="P12">
    <cfRule type="cellIs" dxfId="179" priority="339" stopIfTrue="1" operator="lessThan">
      <formula>D12+F12</formula>
    </cfRule>
  </conditionalFormatting>
  <conditionalFormatting sqref="Q12">
    <cfRule type="cellIs" dxfId="178" priority="338" stopIfTrue="1" operator="greaterThan">
      <formula>D12+E12</formula>
    </cfRule>
  </conditionalFormatting>
  <conditionalFormatting sqref="Q12">
    <cfRule type="cellIs" dxfId="177" priority="337" stopIfTrue="1" operator="lessThan">
      <formula>D12+F12</formula>
    </cfRule>
  </conditionalFormatting>
  <conditionalFormatting sqref="H66:Q66">
    <cfRule type="cellIs" dxfId="176" priority="15" stopIfTrue="1" operator="equal">
      <formula>"NG"</formula>
    </cfRule>
    <cfRule type="cellIs" dxfId="175" priority="16" stopIfTrue="1" operator="equal">
      <formula>"允收"</formula>
    </cfRule>
  </conditionalFormatting>
  <conditionalFormatting sqref="J13:L61">
    <cfRule type="cellIs" dxfId="174" priority="13" stopIfTrue="1" operator="between">
      <formula>"NO GO NG"</formula>
      <formula>"GO NG"</formula>
    </cfRule>
    <cfRule type="cellIs" dxfId="173" priority="14" stopIfTrue="1" operator="equal">
      <formula>"OK"</formula>
    </cfRule>
  </conditionalFormatting>
  <dataValidations count="5">
    <dataValidation type="list" allowBlank="1" showInputMessage="1" showErrorMessage="1" sqref="H65:Q65" xr:uid="{00000000-0002-0000-0000-000000000000}">
      <formula1>"OK,NG"</formula1>
    </dataValidation>
    <dataValidation imeMode="off" allowBlank="1" showInputMessage="1" showErrorMessage="1" sqref="J3:K3" xr:uid="{00000000-0002-0000-0000-000001000000}"/>
    <dataValidation type="list" imeMode="off" allowBlank="1" showInputMessage="1" showErrorMessage="1" sqref="J4:K4" xr:uid="{00000000-0002-0000-0000-000002000000}">
      <formula1>"mm,inch"</formula1>
    </dataValidation>
    <dataValidation type="list" allowBlank="1" showInputMessage="1" showErrorMessage="1" sqref="H66:Q66" xr:uid="{00000000-0002-0000-0000-000003000000}">
      <formula1>"OK,NG,特採"</formula1>
    </dataValidation>
    <dataValidation type="list" allowBlank="1" showInputMessage="1" showErrorMessage="1" sqref="J13:L61" xr:uid="{00000000-0002-0000-0000-000004000000}">
      <formula1>"OK,GO NG,NO GO NG"</formula1>
    </dataValidation>
  </dataValidations>
  <printOptions horizontalCentered="1"/>
  <pageMargins left="0.23622047244094491" right="0.5" top="0.23622047244094491" bottom="0.13" header="0.15748031496062992" footer="0.13"/>
  <pageSetup paperSize="9" scale="76" orientation="landscape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/>
  <dimension ref="A2:U69"/>
  <sheetViews>
    <sheetView showGridLines="0" topLeftCell="A55" workbookViewId="0">
      <selection activeCell="I7" sqref="I7"/>
    </sheetView>
  </sheetViews>
  <sheetFormatPr defaultColWidth="9.140625" defaultRowHeight="12.75"/>
  <cols>
    <col min="1" max="8" width="9.140625" style="14"/>
    <col min="9" max="10" width="25" style="15" customWidth="1"/>
    <col min="11" max="11" width="16.5703125" style="14" customWidth="1"/>
    <col min="12" max="12" width="14.5703125" style="14" customWidth="1"/>
    <col min="13" max="13" width="15" style="14" customWidth="1"/>
    <col min="14" max="14" width="9.140625" style="14" customWidth="1"/>
    <col min="15" max="16384" width="9.140625" style="14"/>
  </cols>
  <sheetData>
    <row r="2" spans="1:10">
      <c r="I2" s="15" t="s">
        <v>20</v>
      </c>
    </row>
    <row r="3" spans="1:10" ht="16.5">
      <c r="A3" s="16" t="s">
        <v>309</v>
      </c>
      <c r="B3" s="17" t="s">
        <v>22</v>
      </c>
      <c r="C3" s="18"/>
      <c r="D3" s="19" t="s">
        <v>23</v>
      </c>
      <c r="E3" s="20"/>
      <c r="F3" s="21"/>
      <c r="G3" s="22"/>
      <c r="I3" s="23" t="s">
        <v>217</v>
      </c>
      <c r="J3" s="15" t="s">
        <v>24</v>
      </c>
    </row>
    <row r="4" spans="1:10" ht="16.5">
      <c r="A4" s="16" t="s">
        <v>25</v>
      </c>
      <c r="B4" s="17" t="s">
        <v>26</v>
      </c>
      <c r="C4" s="18"/>
      <c r="D4" s="19" t="s">
        <v>27</v>
      </c>
      <c r="E4" s="20"/>
      <c r="F4" s="21"/>
      <c r="G4" s="22"/>
      <c r="I4" s="23" t="s">
        <v>218</v>
      </c>
      <c r="J4" s="24" t="s">
        <v>28</v>
      </c>
    </row>
    <row r="5" spans="1:10" ht="19.5">
      <c r="A5" s="25" t="s">
        <v>29</v>
      </c>
      <c r="B5" s="17" t="s">
        <v>30</v>
      </c>
      <c r="C5" s="26" t="s">
        <v>31</v>
      </c>
      <c r="D5" s="19" t="s">
        <v>32</v>
      </c>
      <c r="E5" s="20"/>
      <c r="F5" s="21"/>
      <c r="G5" s="22"/>
      <c r="I5" s="23" t="s">
        <v>202</v>
      </c>
      <c r="J5" s="24" t="s">
        <v>33</v>
      </c>
    </row>
    <row r="6" spans="1:10" ht="16.5">
      <c r="B6" s="17" t="s">
        <v>34</v>
      </c>
      <c r="C6" s="18"/>
      <c r="D6" s="19" t="s">
        <v>35</v>
      </c>
      <c r="E6" s="20"/>
      <c r="F6" s="21"/>
      <c r="G6" s="22"/>
      <c r="I6" s="27" t="s">
        <v>425</v>
      </c>
      <c r="J6" s="24" t="s">
        <v>36</v>
      </c>
    </row>
    <row r="7" spans="1:10" ht="19.5">
      <c r="A7" s="28" t="s">
        <v>37</v>
      </c>
      <c r="B7" s="17" t="s">
        <v>38</v>
      </c>
      <c r="C7" s="29" t="s">
        <v>39</v>
      </c>
      <c r="D7" s="19" t="s">
        <v>40</v>
      </c>
      <c r="E7" s="20"/>
      <c r="F7" s="21"/>
      <c r="G7" s="22"/>
      <c r="I7" s="23" t="s">
        <v>41</v>
      </c>
    </row>
    <row r="8" spans="1:10" ht="16.5">
      <c r="A8" s="30" t="s">
        <v>42</v>
      </c>
      <c r="B8" s="17" t="s">
        <v>43</v>
      </c>
      <c r="C8" s="31" t="s">
        <v>42</v>
      </c>
      <c r="D8" s="19" t="s">
        <v>44</v>
      </c>
      <c r="E8" s="20"/>
      <c r="F8" s="21"/>
      <c r="G8" s="22"/>
      <c r="I8" s="23" t="s">
        <v>45</v>
      </c>
      <c r="J8" s="24" t="s">
        <v>46</v>
      </c>
    </row>
    <row r="9" spans="1:10" ht="16.5">
      <c r="A9" s="32" t="s">
        <v>304</v>
      </c>
      <c r="B9" s="17" t="s">
        <v>47</v>
      </c>
      <c r="C9" s="31" t="s">
        <v>227</v>
      </c>
      <c r="D9" s="19" t="s">
        <v>48</v>
      </c>
      <c r="E9" s="20"/>
      <c r="F9" s="21"/>
      <c r="G9" s="22"/>
      <c r="I9" s="23" t="s">
        <v>49</v>
      </c>
      <c r="J9" s="24" t="s">
        <v>50</v>
      </c>
    </row>
    <row r="10" spans="1:10" ht="16.5">
      <c r="B10" s="17" t="s">
        <v>51</v>
      </c>
      <c r="C10" s="18"/>
      <c r="D10" s="19" t="s">
        <v>52</v>
      </c>
      <c r="E10" s="20"/>
      <c r="F10" s="21"/>
      <c r="G10" s="22"/>
      <c r="I10" s="23" t="s">
        <v>53</v>
      </c>
    </row>
    <row r="11" spans="1:10" ht="16.5">
      <c r="B11" s="17" t="s">
        <v>54</v>
      </c>
      <c r="C11" s="18"/>
      <c r="D11" s="19" t="s">
        <v>55</v>
      </c>
      <c r="E11" s="20"/>
      <c r="F11" s="21"/>
      <c r="G11" s="22"/>
      <c r="I11" s="23" t="s">
        <v>56</v>
      </c>
      <c r="J11" s="24" t="s">
        <v>57</v>
      </c>
    </row>
    <row r="12" spans="1:10" ht="16.5">
      <c r="A12" s="33" t="s">
        <v>58</v>
      </c>
      <c r="B12" s="17" t="s">
        <v>59</v>
      </c>
      <c r="C12" s="18"/>
      <c r="D12" s="19" t="s">
        <v>60</v>
      </c>
      <c r="E12" s="20"/>
      <c r="F12" s="21"/>
      <c r="G12" s="22"/>
      <c r="I12" s="23" t="s">
        <v>61</v>
      </c>
      <c r="J12" s="24" t="s">
        <v>62</v>
      </c>
    </row>
    <row r="13" spans="1:10" ht="16.5">
      <c r="B13" s="34" t="s">
        <v>63</v>
      </c>
      <c r="C13" s="18"/>
      <c r="D13" s="19" t="s">
        <v>64</v>
      </c>
      <c r="E13" s="20"/>
      <c r="F13" s="21"/>
      <c r="G13" s="22"/>
      <c r="I13" s="23" t="s">
        <v>65</v>
      </c>
      <c r="J13" s="24" t="s">
        <v>66</v>
      </c>
    </row>
    <row r="14" spans="1:10" ht="19.5">
      <c r="A14" s="35" t="s">
        <v>67</v>
      </c>
      <c r="B14" s="17" t="s">
        <v>68</v>
      </c>
      <c r="C14" s="36" t="s">
        <v>69</v>
      </c>
      <c r="D14" s="19" t="s">
        <v>70</v>
      </c>
      <c r="E14" s="20"/>
      <c r="F14" s="21"/>
      <c r="G14" s="22"/>
      <c r="I14" s="23" t="s">
        <v>71</v>
      </c>
      <c r="J14" s="24" t="s">
        <v>72</v>
      </c>
    </row>
    <row r="15" spans="1:10" ht="16.5">
      <c r="A15" s="25" t="s">
        <v>73</v>
      </c>
      <c r="B15" s="17" t="s">
        <v>74</v>
      </c>
      <c r="C15" s="37" t="s">
        <v>19</v>
      </c>
      <c r="D15" s="19" t="s">
        <v>75</v>
      </c>
      <c r="E15" s="20"/>
      <c r="F15" s="21"/>
      <c r="G15" s="22"/>
      <c r="I15" s="23" t="s">
        <v>76</v>
      </c>
      <c r="J15" s="24" t="s">
        <v>77</v>
      </c>
    </row>
    <row r="16" spans="1:10" ht="16.5">
      <c r="B16" s="17" t="s">
        <v>78</v>
      </c>
      <c r="C16" s="18"/>
      <c r="D16" s="19" t="s">
        <v>79</v>
      </c>
      <c r="E16" s="20"/>
      <c r="F16" s="21"/>
      <c r="G16" s="22"/>
      <c r="I16" s="23" t="s">
        <v>80</v>
      </c>
      <c r="J16" s="24" t="s">
        <v>81</v>
      </c>
    </row>
    <row r="17" spans="1:10" ht="16.5">
      <c r="B17" s="17" t="s">
        <v>82</v>
      </c>
      <c r="C17" s="18"/>
      <c r="D17" s="19" t="s">
        <v>83</v>
      </c>
      <c r="E17" s="20"/>
      <c r="F17" s="21"/>
      <c r="G17" s="22"/>
      <c r="I17" s="23" t="s">
        <v>84</v>
      </c>
      <c r="J17" s="24" t="s">
        <v>85</v>
      </c>
    </row>
    <row r="18" spans="1:10" ht="16.5">
      <c r="C18" s="18"/>
      <c r="D18" s="19" t="s">
        <v>86</v>
      </c>
      <c r="E18" s="20"/>
      <c r="F18" s="21"/>
      <c r="G18" s="22"/>
      <c r="I18" s="23" t="s">
        <v>87</v>
      </c>
      <c r="J18" s="24" t="s">
        <v>88</v>
      </c>
    </row>
    <row r="19" spans="1:10" ht="16.5">
      <c r="B19" s="17" t="s">
        <v>89</v>
      </c>
      <c r="C19" s="18"/>
      <c r="D19" s="19" t="s">
        <v>90</v>
      </c>
      <c r="E19" s="20"/>
      <c r="F19" s="21"/>
      <c r="G19" s="22"/>
      <c r="I19" s="23" t="s">
        <v>91</v>
      </c>
      <c r="J19" s="24" t="s">
        <v>92</v>
      </c>
    </row>
    <row r="20" spans="1:10" ht="16.5">
      <c r="C20" s="18"/>
      <c r="D20" s="19" t="s">
        <v>93</v>
      </c>
      <c r="E20" s="20"/>
      <c r="F20" s="21"/>
      <c r="G20" s="22"/>
      <c r="I20" s="23" t="s">
        <v>297</v>
      </c>
      <c r="J20" s="24" t="s">
        <v>94</v>
      </c>
    </row>
    <row r="21" spans="1:10" ht="16.5">
      <c r="A21" s="35" t="s">
        <v>284</v>
      </c>
      <c r="B21" s="17" t="s">
        <v>95</v>
      </c>
      <c r="C21" s="37" t="s">
        <v>18</v>
      </c>
      <c r="D21" s="19" t="s">
        <v>96</v>
      </c>
      <c r="E21" s="20"/>
      <c r="F21" s="21"/>
      <c r="G21" s="22"/>
      <c r="I21" s="23" t="s">
        <v>97</v>
      </c>
      <c r="J21" s="24" t="s">
        <v>98</v>
      </c>
    </row>
    <row r="22" spans="1:10" ht="16.5">
      <c r="A22" s="35" t="s">
        <v>99</v>
      </c>
      <c r="B22" s="17" t="s">
        <v>100</v>
      </c>
      <c r="C22" s="37" t="s">
        <v>101</v>
      </c>
      <c r="D22" s="38" t="s">
        <v>102</v>
      </c>
      <c r="E22" s="20"/>
      <c r="F22" s="21"/>
      <c r="G22" s="22"/>
      <c r="I22" s="23" t="s">
        <v>145</v>
      </c>
      <c r="J22" s="24" t="s">
        <v>72</v>
      </c>
    </row>
    <row r="23" spans="1:10" ht="16.5">
      <c r="B23" s="39" t="s">
        <v>103</v>
      </c>
      <c r="D23" s="40" t="s">
        <v>104</v>
      </c>
      <c r="E23" s="41"/>
      <c r="F23" s="41"/>
      <c r="G23" s="42"/>
      <c r="I23" s="23" t="s">
        <v>105</v>
      </c>
      <c r="J23" s="24" t="s">
        <v>106</v>
      </c>
    </row>
    <row r="24" spans="1:10" ht="16.5">
      <c r="B24" s="39" t="s">
        <v>107</v>
      </c>
      <c r="D24" s="43" t="s">
        <v>108</v>
      </c>
      <c r="E24" s="41"/>
      <c r="F24" s="41"/>
      <c r="G24" s="42"/>
      <c r="I24" s="23" t="s">
        <v>109</v>
      </c>
      <c r="J24" s="24" t="s">
        <v>110</v>
      </c>
    </row>
    <row r="25" spans="1:10" ht="16.5">
      <c r="B25" s="39" t="s">
        <v>111</v>
      </c>
      <c r="D25" s="44" t="s">
        <v>112</v>
      </c>
      <c r="E25" s="41"/>
      <c r="F25" s="41"/>
      <c r="G25" s="42"/>
      <c r="I25" s="27"/>
      <c r="J25" s="24"/>
    </row>
    <row r="26" spans="1:10" ht="16.5">
      <c r="B26" s="39" t="s">
        <v>113</v>
      </c>
      <c r="D26" s="45" t="s">
        <v>206</v>
      </c>
      <c r="E26" s="46"/>
      <c r="F26" s="47"/>
      <c r="G26" s="47"/>
      <c r="I26" s="23" t="s">
        <v>114</v>
      </c>
      <c r="J26" s="24" t="s">
        <v>115</v>
      </c>
    </row>
    <row r="27" spans="1:10" ht="16.5">
      <c r="B27" s="39" t="s">
        <v>116</v>
      </c>
      <c r="D27" s="48" t="s">
        <v>205</v>
      </c>
      <c r="E27" s="46"/>
      <c r="F27" s="47"/>
      <c r="G27" s="47"/>
      <c r="I27" s="23" t="s">
        <v>117</v>
      </c>
      <c r="J27" s="24" t="s">
        <v>118</v>
      </c>
    </row>
    <row r="28" spans="1:10" ht="16.5">
      <c r="B28" s="39" t="s">
        <v>119</v>
      </c>
      <c r="D28" s="48" t="s">
        <v>207</v>
      </c>
      <c r="E28" s="46"/>
      <c r="F28" s="47"/>
      <c r="G28" s="47"/>
      <c r="I28" s="23" t="s">
        <v>120</v>
      </c>
      <c r="J28" s="49"/>
    </row>
    <row r="29" spans="1:10" ht="27">
      <c r="B29" s="39" t="s">
        <v>121</v>
      </c>
      <c r="D29" s="48" t="s">
        <v>122</v>
      </c>
      <c r="E29" s="46"/>
      <c r="F29" s="47"/>
      <c r="G29" s="47"/>
      <c r="I29" s="49" t="s">
        <v>123</v>
      </c>
    </row>
    <row r="30" spans="1:10" ht="14.25">
      <c r="B30" s="17" t="s">
        <v>124</v>
      </c>
      <c r="D30" s="50" t="s">
        <v>125</v>
      </c>
      <c r="E30" s="50"/>
      <c r="F30" s="50"/>
      <c r="G30" s="50"/>
    </row>
    <row r="31" spans="1:10" ht="14.25">
      <c r="B31" s="17" t="s">
        <v>126</v>
      </c>
      <c r="D31" s="51" t="s">
        <v>127</v>
      </c>
      <c r="E31" s="51"/>
      <c r="F31" s="51"/>
      <c r="G31" s="51"/>
    </row>
    <row r="32" spans="1:10" ht="14.25">
      <c r="B32" s="17" t="s">
        <v>128</v>
      </c>
      <c r="D32" s="52" t="s">
        <v>129</v>
      </c>
      <c r="E32" s="41"/>
      <c r="F32" s="41"/>
      <c r="G32" s="42"/>
    </row>
    <row r="33" spans="1:19" ht="14.25">
      <c r="B33" s="17" t="s">
        <v>43</v>
      </c>
      <c r="D33" s="53" t="s">
        <v>130</v>
      </c>
      <c r="E33" s="54"/>
      <c r="F33" s="54"/>
      <c r="G33" s="55"/>
    </row>
    <row r="34" spans="1:19" ht="15.75">
      <c r="A34" s="56" t="s">
        <v>203</v>
      </c>
      <c r="B34" s="17" t="s">
        <v>131</v>
      </c>
      <c r="D34" s="14" t="s">
        <v>132</v>
      </c>
    </row>
    <row r="35" spans="1:19" ht="14.25">
      <c r="B35" s="17" t="s">
        <v>133</v>
      </c>
      <c r="D35" s="14" t="s">
        <v>134</v>
      </c>
    </row>
    <row r="36" spans="1:19" ht="16.5">
      <c r="J36" s="71" t="s">
        <v>152</v>
      </c>
      <c r="L36" s="73" t="s">
        <v>18</v>
      </c>
      <c r="M36" s="73" t="s">
        <v>157</v>
      </c>
    </row>
    <row r="37" spans="1:19" ht="14.25">
      <c r="L37" s="73" t="s">
        <v>158</v>
      </c>
      <c r="M37" s="73" t="s">
        <v>31</v>
      </c>
    </row>
    <row r="38" spans="1:19" ht="14.25">
      <c r="B38" s="57" t="s">
        <v>135</v>
      </c>
      <c r="J38" s="15" t="s">
        <v>153</v>
      </c>
      <c r="K38" s="58"/>
      <c r="L38" s="73"/>
      <c r="M38" s="73" t="s">
        <v>19</v>
      </c>
    </row>
    <row r="39" spans="1:19" ht="14.25">
      <c r="L39" s="73" t="s">
        <v>140</v>
      </c>
      <c r="M39" s="73" t="s">
        <v>159</v>
      </c>
    </row>
    <row r="40" spans="1:19" ht="16.5">
      <c r="B40" s="58" t="s">
        <v>136</v>
      </c>
      <c r="G40" s="59" t="s">
        <v>150</v>
      </c>
      <c r="K40" s="60"/>
      <c r="L40" s="73" t="s">
        <v>141</v>
      </c>
      <c r="M40" s="73"/>
      <c r="N40" s="61"/>
      <c r="O40" s="62"/>
      <c r="P40" s="62"/>
      <c r="Q40" s="62"/>
      <c r="R40" s="61"/>
    </row>
    <row r="41" spans="1:19" ht="19.5">
      <c r="J41" s="15" t="s">
        <v>154</v>
      </c>
      <c r="M41" s="74" t="s">
        <v>160</v>
      </c>
    </row>
    <row r="42" spans="1:19" ht="15">
      <c r="B42" s="14" t="s">
        <v>137</v>
      </c>
      <c r="J42" s="72"/>
    </row>
    <row r="43" spans="1:19" ht="16.5">
      <c r="G43" s="63"/>
    </row>
    <row r="44" spans="1:19">
      <c r="J44" s="15" t="s">
        <v>155</v>
      </c>
    </row>
    <row r="45" spans="1:19" ht="120.75" thickBot="1">
      <c r="B45" s="64" t="s">
        <v>138</v>
      </c>
      <c r="L45" s="104"/>
      <c r="M45" s="105" t="s">
        <v>208</v>
      </c>
      <c r="N45" s="106" t="s">
        <v>209</v>
      </c>
      <c r="O45" s="105" t="s">
        <v>210</v>
      </c>
      <c r="P45" s="105" t="s">
        <v>211</v>
      </c>
      <c r="Q45" s="107" t="s">
        <v>212</v>
      </c>
      <c r="R45" s="108" t="s">
        <v>213</v>
      </c>
      <c r="S45" s="109" t="s">
        <v>214</v>
      </c>
    </row>
    <row r="46" spans="1:19" ht="17.25" thickBot="1">
      <c r="B46" s="65" t="s">
        <v>21</v>
      </c>
      <c r="J46" s="15" t="s">
        <v>156</v>
      </c>
    </row>
    <row r="47" spans="1:19" ht="16.5" thickBot="1">
      <c r="B47" s="66" t="s">
        <v>204</v>
      </c>
      <c r="G47" s="67"/>
    </row>
    <row r="48" spans="1:19" ht="16.5">
      <c r="B48" s="64" t="s">
        <v>139</v>
      </c>
    </row>
    <row r="49" spans="1:21" ht="16.5">
      <c r="B49" s="68" t="s">
        <v>140</v>
      </c>
    </row>
    <row r="50" spans="1:21" ht="16.5">
      <c r="B50" s="65" t="s">
        <v>141</v>
      </c>
    </row>
    <row r="51" spans="1:21" ht="18.75">
      <c r="B51" s="69" t="s">
        <v>142</v>
      </c>
    </row>
    <row r="52" spans="1:21" ht="116.25" thickBot="1">
      <c r="B52" s="70" t="s">
        <v>143</v>
      </c>
      <c r="C52" s="110"/>
      <c r="D52" s="111"/>
      <c r="E52" s="112"/>
      <c r="F52" s="113" t="s">
        <v>215</v>
      </c>
      <c r="G52" s="114"/>
      <c r="H52" s="115"/>
      <c r="I52" s="116" t="s">
        <v>216</v>
      </c>
      <c r="J52" s="117"/>
      <c r="K52" s="118"/>
      <c r="L52" s="118"/>
      <c r="M52" s="118"/>
      <c r="N52" s="118"/>
      <c r="O52" s="118"/>
      <c r="P52" s="118"/>
      <c r="Q52" s="118"/>
      <c r="R52" s="118"/>
      <c r="S52" s="119"/>
    </row>
    <row r="53" spans="1:21" ht="16.5">
      <c r="B53" s="64" t="s">
        <v>0</v>
      </c>
    </row>
    <row r="54" spans="1:21" ht="18.75">
      <c r="B54" s="75"/>
      <c r="C54" s="76" t="s">
        <v>161</v>
      </c>
      <c r="D54" s="77" t="s">
        <v>161</v>
      </c>
      <c r="E54" s="77" t="s">
        <v>161</v>
      </c>
      <c r="F54" s="77" t="s">
        <v>161</v>
      </c>
      <c r="G54" s="77" t="s">
        <v>161</v>
      </c>
      <c r="H54" s="77" t="s">
        <v>161</v>
      </c>
      <c r="I54" s="77" t="s">
        <v>161</v>
      </c>
      <c r="J54" s="77" t="s">
        <v>161</v>
      </c>
      <c r="K54" s="77" t="s">
        <v>161</v>
      </c>
      <c r="L54" s="77" t="s">
        <v>161</v>
      </c>
      <c r="M54" s="77" t="s">
        <v>161</v>
      </c>
      <c r="N54" s="77" t="s">
        <v>161</v>
      </c>
      <c r="O54" s="77" t="s">
        <v>161</v>
      </c>
      <c r="P54" s="78" t="s">
        <v>161</v>
      </c>
    </row>
    <row r="55" spans="1:21" ht="15.75">
      <c r="B55" s="79"/>
    </row>
    <row r="56" spans="1:21" ht="17.25" thickBot="1">
      <c r="B56" s="64"/>
    </row>
    <row r="57" spans="1:21" ht="17.25" thickBot="1">
      <c r="A57" s="253" t="s">
        <v>162</v>
      </c>
      <c r="B57" s="253" t="s">
        <v>163</v>
      </c>
      <c r="C57" s="253" t="s">
        <v>164</v>
      </c>
      <c r="D57" s="253" t="s">
        <v>165</v>
      </c>
      <c r="E57" s="253" t="s">
        <v>166</v>
      </c>
      <c r="F57" s="256" t="s">
        <v>167</v>
      </c>
      <c r="G57" s="245" t="s">
        <v>168</v>
      </c>
      <c r="H57" s="247" t="s">
        <v>169</v>
      </c>
      <c r="I57" s="248"/>
      <c r="J57" s="248"/>
      <c r="K57" s="248"/>
      <c r="L57" s="248"/>
      <c r="M57" s="248"/>
      <c r="N57" s="248"/>
      <c r="O57" s="248"/>
      <c r="P57" s="248"/>
      <c r="Q57" s="248"/>
      <c r="R57" s="248"/>
      <c r="S57" s="248"/>
      <c r="T57" s="248"/>
      <c r="U57" s="249"/>
    </row>
    <row r="58" spans="1:21" ht="67.5" thickBot="1">
      <c r="A58" s="254"/>
      <c r="B58" s="255"/>
      <c r="C58" s="255"/>
      <c r="D58" s="255"/>
      <c r="E58" s="254"/>
      <c r="F58" s="257"/>
      <c r="G58" s="246"/>
      <c r="H58" s="80" t="s">
        <v>170</v>
      </c>
      <c r="I58" s="81" t="s">
        <v>171</v>
      </c>
      <c r="J58" s="81" t="s">
        <v>172</v>
      </c>
      <c r="K58" s="81" t="s">
        <v>173</v>
      </c>
      <c r="L58" s="81" t="s">
        <v>174</v>
      </c>
      <c r="M58" s="81" t="s">
        <v>175</v>
      </c>
      <c r="N58" s="81" t="s">
        <v>176</v>
      </c>
      <c r="O58" s="81" t="s">
        <v>177</v>
      </c>
      <c r="P58" s="81" t="s">
        <v>178</v>
      </c>
      <c r="Q58" s="81" t="s">
        <v>179</v>
      </c>
      <c r="R58" s="81" t="s">
        <v>180</v>
      </c>
      <c r="S58" s="81" t="s">
        <v>181</v>
      </c>
      <c r="T58" s="81" t="s">
        <v>182</v>
      </c>
      <c r="U58" s="82" t="s">
        <v>183</v>
      </c>
    </row>
    <row r="59" spans="1:21" ht="13.5" thickBot="1"/>
    <row r="60" spans="1:21" ht="17.25" thickBot="1">
      <c r="A60" s="250" t="s">
        <v>184</v>
      </c>
      <c r="B60" s="251"/>
      <c r="C60" s="251"/>
      <c r="D60" s="251"/>
      <c r="E60" s="251"/>
      <c r="F60" s="251"/>
      <c r="G60" s="251"/>
      <c r="H60" s="251"/>
      <c r="I60" s="251"/>
      <c r="J60" s="251"/>
      <c r="K60" s="251"/>
      <c r="L60" s="251"/>
      <c r="M60" s="251"/>
      <c r="N60" s="252"/>
    </row>
    <row r="61" spans="1:21" ht="67.5" thickBot="1">
      <c r="A61" s="83" t="s">
        <v>185</v>
      </c>
      <c r="B61" s="83" t="s">
        <v>186</v>
      </c>
      <c r="C61" s="83" t="s">
        <v>187</v>
      </c>
      <c r="D61" s="83" t="s">
        <v>188</v>
      </c>
      <c r="E61" s="83" t="s">
        <v>189</v>
      </c>
      <c r="F61" s="83" t="s">
        <v>190</v>
      </c>
      <c r="G61" s="83" t="s">
        <v>191</v>
      </c>
      <c r="H61" s="83" t="s">
        <v>192</v>
      </c>
      <c r="I61" s="83" t="s">
        <v>193</v>
      </c>
      <c r="J61" s="83" t="s">
        <v>194</v>
      </c>
      <c r="K61" s="83" t="s">
        <v>195</v>
      </c>
      <c r="L61" s="83" t="s">
        <v>196</v>
      </c>
      <c r="M61" s="83" t="s">
        <v>197</v>
      </c>
      <c r="N61" s="84" t="s">
        <v>198</v>
      </c>
    </row>
    <row r="64" spans="1:21" ht="17.25" thickBot="1">
      <c r="A64" s="85" t="s">
        <v>161</v>
      </c>
      <c r="B64" s="86" t="s">
        <v>161</v>
      </c>
      <c r="C64" s="86" t="s">
        <v>161</v>
      </c>
      <c r="D64" s="86" t="s">
        <v>161</v>
      </c>
      <c r="E64" s="86" t="s">
        <v>161</v>
      </c>
      <c r="F64" s="86" t="s">
        <v>161</v>
      </c>
      <c r="G64" s="86" t="s">
        <v>161</v>
      </c>
      <c r="H64" s="86" t="s">
        <v>161</v>
      </c>
      <c r="I64" s="86" t="s">
        <v>161</v>
      </c>
      <c r="J64" s="86" t="s">
        <v>161</v>
      </c>
      <c r="K64" s="86" t="s">
        <v>161</v>
      </c>
      <c r="L64" s="86" t="s">
        <v>161</v>
      </c>
      <c r="M64" s="86" t="s">
        <v>161</v>
      </c>
      <c r="N64" s="87" t="s">
        <v>161</v>
      </c>
    </row>
    <row r="65" spans="1:14" ht="17.25">
      <c r="A65" s="88" t="s">
        <v>199</v>
      </c>
      <c r="B65" s="89" t="str">
        <f>A65</f>
        <v>洪美珠</v>
      </c>
      <c r="C65" s="89" t="str">
        <f>B65</f>
        <v>洪美珠</v>
      </c>
      <c r="D65" s="89" t="str">
        <f t="shared" ref="D65:N66" si="0">C65</f>
        <v>洪美珠</v>
      </c>
      <c r="E65" s="89" t="str">
        <f t="shared" si="0"/>
        <v>洪美珠</v>
      </c>
      <c r="F65" s="89" t="str">
        <f t="shared" si="0"/>
        <v>洪美珠</v>
      </c>
      <c r="G65" s="89" t="str">
        <f t="shared" si="0"/>
        <v>洪美珠</v>
      </c>
      <c r="H65" s="89" t="str">
        <f t="shared" si="0"/>
        <v>洪美珠</v>
      </c>
      <c r="I65" s="89" t="str">
        <f t="shared" si="0"/>
        <v>洪美珠</v>
      </c>
      <c r="J65" s="89" t="str">
        <f t="shared" si="0"/>
        <v>洪美珠</v>
      </c>
      <c r="K65" s="89" t="str">
        <f t="shared" si="0"/>
        <v>洪美珠</v>
      </c>
      <c r="L65" s="89" t="str">
        <f t="shared" si="0"/>
        <v>洪美珠</v>
      </c>
      <c r="M65" s="89" t="str">
        <f t="shared" si="0"/>
        <v>洪美珠</v>
      </c>
      <c r="N65" s="90" t="str">
        <f t="shared" si="0"/>
        <v>洪美珠</v>
      </c>
    </row>
    <row r="66" spans="1:14" ht="47.25">
      <c r="A66" s="91" t="s">
        <v>200</v>
      </c>
      <c r="B66" s="92" t="str">
        <f t="shared" ref="B66" si="1">A66</f>
        <v>2024/6/9
01:30:00 PM</v>
      </c>
      <c r="C66" s="92" t="str">
        <f>B66</f>
        <v>2024/6/9
01:30:00 PM</v>
      </c>
      <c r="D66" s="92" t="str">
        <f t="shared" si="0"/>
        <v>2024/6/9
01:30:00 PM</v>
      </c>
      <c r="E66" s="92" t="str">
        <f t="shared" si="0"/>
        <v>2024/6/9
01:30:00 PM</v>
      </c>
      <c r="F66" s="92" t="str">
        <f t="shared" si="0"/>
        <v>2024/6/9
01:30:00 PM</v>
      </c>
      <c r="G66" s="92" t="str">
        <f t="shared" si="0"/>
        <v>2024/6/9
01:30:00 PM</v>
      </c>
      <c r="H66" s="92" t="str">
        <f t="shared" si="0"/>
        <v>2024/6/9
01:30:00 PM</v>
      </c>
      <c r="I66" s="92" t="str">
        <f t="shared" si="0"/>
        <v>2024/6/9
01:30:00 PM</v>
      </c>
      <c r="J66" s="92" t="str">
        <f t="shared" si="0"/>
        <v>2024/6/9
01:30:00 PM</v>
      </c>
      <c r="K66" s="92" t="str">
        <f t="shared" si="0"/>
        <v>2024/6/9
01:30:00 PM</v>
      </c>
      <c r="L66" s="92" t="str">
        <f t="shared" si="0"/>
        <v>2024/6/9
01:30:00 PM</v>
      </c>
      <c r="M66" s="92" t="str">
        <f t="shared" si="0"/>
        <v>2024/6/9
01:30:00 PM</v>
      </c>
      <c r="N66" s="93" t="str">
        <f t="shared" si="0"/>
        <v>2024/6/9
01:30:00 PM</v>
      </c>
    </row>
    <row r="67" spans="1:14" ht="17.25">
      <c r="A67" s="94" t="str">
        <f t="shared" ref="A67:N67" si="2">IF(COUNTIF(A64,"NG")=0,"C","N")</f>
        <v>C</v>
      </c>
      <c r="B67" s="95" t="str">
        <f t="shared" si="2"/>
        <v>C</v>
      </c>
      <c r="C67" s="95" t="str">
        <f t="shared" si="2"/>
        <v>C</v>
      </c>
      <c r="D67" s="95" t="str">
        <f t="shared" si="2"/>
        <v>C</v>
      </c>
      <c r="E67" s="95" t="str">
        <f t="shared" si="2"/>
        <v>C</v>
      </c>
      <c r="F67" s="95" t="str">
        <f t="shared" si="2"/>
        <v>C</v>
      </c>
      <c r="G67" s="95" t="str">
        <f t="shared" si="2"/>
        <v>C</v>
      </c>
      <c r="H67" s="95" t="str">
        <f t="shared" si="2"/>
        <v>C</v>
      </c>
      <c r="I67" s="95" t="str">
        <f t="shared" si="2"/>
        <v>C</v>
      </c>
      <c r="J67" s="95" t="str">
        <f t="shared" si="2"/>
        <v>C</v>
      </c>
      <c r="K67" s="95" t="str">
        <f t="shared" si="2"/>
        <v>C</v>
      </c>
      <c r="L67" s="95" t="str">
        <f t="shared" si="2"/>
        <v>C</v>
      </c>
      <c r="M67" s="95" t="str">
        <f t="shared" si="2"/>
        <v>C</v>
      </c>
      <c r="N67" s="96" t="str">
        <f t="shared" si="2"/>
        <v>C</v>
      </c>
    </row>
    <row r="68" spans="1:14" ht="17.25">
      <c r="A68" s="97" t="s">
        <v>201</v>
      </c>
      <c r="B68" s="98" t="str">
        <f>A68</f>
        <v>WEI</v>
      </c>
      <c r="C68" s="98" t="str">
        <f>B68</f>
        <v>WEI</v>
      </c>
      <c r="D68" s="98" t="str">
        <f t="shared" ref="D68:N68" si="3">C68</f>
        <v>WEI</v>
      </c>
      <c r="E68" s="98" t="str">
        <f t="shared" si="3"/>
        <v>WEI</v>
      </c>
      <c r="F68" s="98" t="str">
        <f t="shared" si="3"/>
        <v>WEI</v>
      </c>
      <c r="G68" s="98" t="str">
        <f t="shared" si="3"/>
        <v>WEI</v>
      </c>
      <c r="H68" s="98" t="str">
        <f t="shared" si="3"/>
        <v>WEI</v>
      </c>
      <c r="I68" s="98" t="str">
        <f t="shared" si="3"/>
        <v>WEI</v>
      </c>
      <c r="J68" s="98" t="str">
        <f t="shared" si="3"/>
        <v>WEI</v>
      </c>
      <c r="K68" s="98" t="str">
        <f t="shared" si="3"/>
        <v>WEI</v>
      </c>
      <c r="L68" s="98" t="str">
        <f t="shared" si="3"/>
        <v>WEI</v>
      </c>
      <c r="M68" s="98" t="str">
        <f t="shared" si="3"/>
        <v>WEI</v>
      </c>
      <c r="N68" s="96" t="str">
        <f t="shared" si="3"/>
        <v>WEI</v>
      </c>
    </row>
    <row r="69" spans="1:14" ht="21.75" thickBot="1">
      <c r="A69" s="99"/>
      <c r="B69" s="100"/>
      <c r="C69" s="101"/>
      <c r="D69" s="102"/>
      <c r="E69" s="102"/>
      <c r="F69" s="102"/>
      <c r="G69" s="102"/>
      <c r="H69" s="102"/>
      <c r="I69" s="102"/>
      <c r="J69" s="102"/>
      <c r="K69" s="102"/>
      <c r="L69" s="102"/>
      <c r="M69" s="102"/>
      <c r="N69" s="103"/>
    </row>
  </sheetData>
  <mergeCells count="9">
    <mergeCell ref="G57:G58"/>
    <mergeCell ref="H57:U57"/>
    <mergeCell ref="A60:N60"/>
    <mergeCell ref="A57:A58"/>
    <mergeCell ref="B57:B58"/>
    <mergeCell ref="C57:C58"/>
    <mergeCell ref="D57:D58"/>
    <mergeCell ref="E57:E58"/>
    <mergeCell ref="F57:F58"/>
  </mergeCells>
  <phoneticPr fontId="1" type="noConversion"/>
  <conditionalFormatting sqref="G43">
    <cfRule type="cellIs" dxfId="172" priority="171" stopIfTrue="1" operator="equal">
      <formula>"NG"</formula>
    </cfRule>
  </conditionalFormatting>
  <conditionalFormatting sqref="G40">
    <cfRule type="cellIs" dxfId="171" priority="172" stopIfTrue="1" operator="between">
      <formula>"NO GO NG"</formula>
      <formula>"GO NG"</formula>
    </cfRule>
    <cfRule type="cellIs" dxfId="170" priority="173" stopIfTrue="1" operator="equal">
      <formula>"OK"</formula>
    </cfRule>
  </conditionalFormatting>
  <conditionalFormatting sqref="C54:P54">
    <cfRule type="cellIs" dxfId="169" priority="169" stopIfTrue="1" operator="between">
      <formula>"NOGO NG"</formula>
      <formula>"GO NG"</formula>
    </cfRule>
    <cfRule type="cellIs" dxfId="168" priority="170" stopIfTrue="1" operator="equal">
      <formula>"OK"</formula>
    </cfRule>
  </conditionalFormatting>
  <conditionalFormatting sqref="A68">
    <cfRule type="cellIs" dxfId="167" priority="162" stopIfTrue="1" operator="equal">
      <formula>"C"</formula>
    </cfRule>
    <cfRule type="cellIs" dxfId="166" priority="163" stopIfTrue="1" operator="equal">
      <formula>"N"</formula>
    </cfRule>
  </conditionalFormatting>
  <conditionalFormatting sqref="A65:B65">
    <cfRule type="cellIs" dxfId="165" priority="164" stopIfTrue="1" operator="equal">
      <formula>"OK"</formula>
    </cfRule>
    <cfRule type="cellIs" dxfId="164" priority="165" stopIfTrue="1" operator="equal">
      <formula>"NG"</formula>
    </cfRule>
  </conditionalFormatting>
  <conditionalFormatting sqref="A64:B64">
    <cfRule type="cellIs" dxfId="163" priority="166" stopIfTrue="1" operator="between">
      <formula>"NOGO NG"</formula>
      <formula>"GO NG"</formula>
    </cfRule>
    <cfRule type="cellIs" dxfId="162" priority="167" stopIfTrue="1" operator="equal">
      <formula>"OK"</formula>
    </cfRule>
  </conditionalFormatting>
  <conditionalFormatting sqref="B68">
    <cfRule type="cellIs" dxfId="161" priority="168" stopIfTrue="1" operator="equal">
      <formula>"N"</formula>
    </cfRule>
  </conditionalFormatting>
  <conditionalFormatting sqref="A66">
    <cfRule type="cellIs" dxfId="160" priority="160" stopIfTrue="1" operator="equal">
      <formula>"C"</formula>
    </cfRule>
    <cfRule type="cellIs" dxfId="159" priority="161" stopIfTrue="1" operator="equal">
      <formula>"N"</formula>
    </cfRule>
  </conditionalFormatting>
  <conditionalFormatting sqref="B66">
    <cfRule type="cellIs" dxfId="158" priority="159" stopIfTrue="1" operator="equal">
      <formula>"N"</formula>
    </cfRule>
  </conditionalFormatting>
  <conditionalFormatting sqref="A67">
    <cfRule type="cellIs" dxfId="157" priority="157" stopIfTrue="1" operator="equal">
      <formula>"C"</formula>
    </cfRule>
    <cfRule type="cellIs" dxfId="156" priority="158" stopIfTrue="1" operator="equal">
      <formula>"N"</formula>
    </cfRule>
  </conditionalFormatting>
  <conditionalFormatting sqref="B67:M67">
    <cfRule type="cellIs" dxfId="155" priority="156" stopIfTrue="1" operator="equal">
      <formula>"N"</formula>
    </cfRule>
  </conditionalFormatting>
  <conditionalFormatting sqref="A67:M67">
    <cfRule type="cellIs" dxfId="154" priority="154" stopIfTrue="1" operator="equal">
      <formula>"OK"</formula>
    </cfRule>
    <cfRule type="cellIs" dxfId="153" priority="155" stopIfTrue="1" operator="equal">
      <formula>"NG"</formula>
    </cfRule>
  </conditionalFormatting>
  <conditionalFormatting sqref="A66:B68 C67:M67">
    <cfRule type="cellIs" dxfId="152" priority="152" stopIfTrue="1" operator="equal">
      <formula>"C"</formula>
    </cfRule>
    <cfRule type="cellIs" dxfId="151" priority="153" stopIfTrue="1" operator="equal">
      <formula>"N"</formula>
    </cfRule>
  </conditionalFormatting>
  <conditionalFormatting sqref="A68:B68 A64:B64">
    <cfRule type="cellIs" dxfId="150" priority="150" stopIfTrue="1" operator="equal">
      <formula>"OK"</formula>
    </cfRule>
    <cfRule type="cellIs" dxfId="149" priority="151" stopIfTrue="1" operator="equal">
      <formula>"NG"</formula>
    </cfRule>
  </conditionalFormatting>
  <conditionalFormatting sqref="B66:B68 C67:M67">
    <cfRule type="cellIs" dxfId="148" priority="149" stopIfTrue="1" operator="equal">
      <formula>"N"</formula>
    </cfRule>
  </conditionalFormatting>
  <conditionalFormatting sqref="A65">
    <cfRule type="cellIs" dxfId="147" priority="147" stopIfTrue="1" operator="equal">
      <formula>"C"</formula>
    </cfRule>
    <cfRule type="cellIs" dxfId="146" priority="148" stopIfTrue="1" operator="equal">
      <formula>"N"</formula>
    </cfRule>
  </conditionalFormatting>
  <conditionalFormatting sqref="B65">
    <cfRule type="cellIs" dxfId="145" priority="146" stopIfTrue="1" operator="equal">
      <formula>"N"</formula>
    </cfRule>
  </conditionalFormatting>
  <conditionalFormatting sqref="A65:B65">
    <cfRule type="cellIs" dxfId="144" priority="144" stopIfTrue="1" operator="equal">
      <formula>"C"</formula>
    </cfRule>
    <cfRule type="cellIs" dxfId="143" priority="145" stopIfTrue="1" operator="equal">
      <formula>"N"</formula>
    </cfRule>
  </conditionalFormatting>
  <conditionalFormatting sqref="A65:B65">
    <cfRule type="cellIs" dxfId="142" priority="142" stopIfTrue="1" operator="equal">
      <formula>"OK"</formula>
    </cfRule>
    <cfRule type="cellIs" dxfId="141" priority="143" stopIfTrue="1" operator="equal">
      <formula>"NG"</formula>
    </cfRule>
  </conditionalFormatting>
  <conditionalFormatting sqref="B65">
    <cfRule type="cellIs" dxfId="140" priority="141" stopIfTrue="1" operator="equal">
      <formula>"N"</formula>
    </cfRule>
  </conditionalFormatting>
  <conditionalFormatting sqref="A67">
    <cfRule type="cellIs" dxfId="139" priority="139" stopIfTrue="1" operator="equal">
      <formula>"C"</formula>
    </cfRule>
    <cfRule type="cellIs" dxfId="138" priority="140" stopIfTrue="1" operator="equal">
      <formula>"N"</formula>
    </cfRule>
  </conditionalFormatting>
  <conditionalFormatting sqref="B67:M67">
    <cfRule type="cellIs" dxfId="137" priority="138" stopIfTrue="1" operator="equal">
      <formula>"N"</formula>
    </cfRule>
  </conditionalFormatting>
  <conditionalFormatting sqref="A67">
    <cfRule type="cellIs" dxfId="136" priority="136" stopIfTrue="1" operator="equal">
      <formula>"C"</formula>
    </cfRule>
    <cfRule type="cellIs" dxfId="135" priority="137" stopIfTrue="1" operator="equal">
      <formula>"N"</formula>
    </cfRule>
  </conditionalFormatting>
  <conditionalFormatting sqref="A64:B64">
    <cfRule type="cellIs" dxfId="134" priority="134" stopIfTrue="1" operator="equal">
      <formula>"OK"</formula>
    </cfRule>
    <cfRule type="cellIs" dxfId="133" priority="135" stopIfTrue="1" operator="equal">
      <formula>"NG"</formula>
    </cfRule>
  </conditionalFormatting>
  <conditionalFormatting sqref="A67:M67">
    <cfRule type="cellIs" dxfId="132" priority="133" stopIfTrue="1" operator="equal">
      <formula>"N"</formula>
    </cfRule>
  </conditionalFormatting>
  <conditionalFormatting sqref="A65:B65">
    <cfRule type="cellIs" dxfId="131" priority="131" stopIfTrue="1" operator="equal">
      <formula>"OK"</formula>
    </cfRule>
    <cfRule type="cellIs" dxfId="130" priority="132" stopIfTrue="1" operator="equal">
      <formula>"NG"</formula>
    </cfRule>
  </conditionalFormatting>
  <conditionalFormatting sqref="A66">
    <cfRule type="cellIs" dxfId="129" priority="129" stopIfTrue="1" operator="equal">
      <formula>"C"</formula>
    </cfRule>
    <cfRule type="cellIs" dxfId="128" priority="130" stopIfTrue="1" operator="equal">
      <formula>"N"</formula>
    </cfRule>
  </conditionalFormatting>
  <conditionalFormatting sqref="B66">
    <cfRule type="cellIs" dxfId="127" priority="128" stopIfTrue="1" operator="equal">
      <formula>"N"</formula>
    </cfRule>
  </conditionalFormatting>
  <conditionalFormatting sqref="A66:B66">
    <cfRule type="cellIs" dxfId="126" priority="126" stopIfTrue="1" operator="equal">
      <formula>"C"</formula>
    </cfRule>
    <cfRule type="cellIs" dxfId="125" priority="127" stopIfTrue="1" operator="equal">
      <formula>"N"</formula>
    </cfRule>
  </conditionalFormatting>
  <conditionalFormatting sqref="B66">
    <cfRule type="cellIs" dxfId="124" priority="125" stopIfTrue="1" operator="equal">
      <formula>"N"</formula>
    </cfRule>
  </conditionalFormatting>
  <conditionalFormatting sqref="A65">
    <cfRule type="cellIs" dxfId="123" priority="123" stopIfTrue="1" operator="equal">
      <formula>"C"</formula>
    </cfRule>
    <cfRule type="cellIs" dxfId="122" priority="124" stopIfTrue="1" operator="equal">
      <formula>"N"</formula>
    </cfRule>
  </conditionalFormatting>
  <conditionalFormatting sqref="B65">
    <cfRule type="cellIs" dxfId="121" priority="122" stopIfTrue="1" operator="equal">
      <formula>"N"</formula>
    </cfRule>
  </conditionalFormatting>
  <conditionalFormatting sqref="A65:B65">
    <cfRule type="cellIs" dxfId="120" priority="120" stopIfTrue="1" operator="equal">
      <formula>"C"</formula>
    </cfRule>
    <cfRule type="cellIs" dxfId="119" priority="121" stopIfTrue="1" operator="equal">
      <formula>"N"</formula>
    </cfRule>
  </conditionalFormatting>
  <conditionalFormatting sqref="A65:B65">
    <cfRule type="cellIs" dxfId="118" priority="118" stopIfTrue="1" operator="equal">
      <formula>"OK"</formula>
    </cfRule>
    <cfRule type="cellIs" dxfId="117" priority="119" stopIfTrue="1" operator="equal">
      <formula>"NG"</formula>
    </cfRule>
  </conditionalFormatting>
  <conditionalFormatting sqref="B65">
    <cfRule type="cellIs" dxfId="116" priority="117" stopIfTrue="1" operator="equal">
      <formula>"N"</formula>
    </cfRule>
  </conditionalFormatting>
  <conditionalFormatting sqref="A68">
    <cfRule type="cellIs" dxfId="115" priority="115" stopIfTrue="1" operator="equal">
      <formula>"C"</formula>
    </cfRule>
    <cfRule type="cellIs" dxfId="114" priority="116" stopIfTrue="1" operator="equal">
      <formula>"N"</formula>
    </cfRule>
  </conditionalFormatting>
  <conditionalFormatting sqref="B68">
    <cfRule type="cellIs" dxfId="113" priority="114" stopIfTrue="1" operator="equal">
      <formula>"N"</formula>
    </cfRule>
  </conditionalFormatting>
  <conditionalFormatting sqref="A68:B68">
    <cfRule type="cellIs" dxfId="112" priority="112" stopIfTrue="1" operator="equal">
      <formula>"C"</formula>
    </cfRule>
    <cfRule type="cellIs" dxfId="111" priority="113" stopIfTrue="1" operator="equal">
      <formula>"N"</formula>
    </cfRule>
  </conditionalFormatting>
  <conditionalFormatting sqref="A68:B68">
    <cfRule type="cellIs" dxfId="110" priority="110" stopIfTrue="1" operator="equal">
      <formula>"OK"</formula>
    </cfRule>
    <cfRule type="cellIs" dxfId="109" priority="111" stopIfTrue="1" operator="equal">
      <formula>"NG"</formula>
    </cfRule>
  </conditionalFormatting>
  <conditionalFormatting sqref="B68">
    <cfRule type="cellIs" dxfId="108" priority="109" stopIfTrue="1" operator="equal">
      <formula>"N"</formula>
    </cfRule>
  </conditionalFormatting>
  <conditionalFormatting sqref="C65">
    <cfRule type="cellIs" dxfId="107" priority="104" stopIfTrue="1" operator="equal">
      <formula>"OK"</formula>
    </cfRule>
    <cfRule type="cellIs" dxfId="106" priority="105" stopIfTrue="1" operator="equal">
      <formula>"NG"</formula>
    </cfRule>
  </conditionalFormatting>
  <conditionalFormatting sqref="C64">
    <cfRule type="cellIs" dxfId="105" priority="106" stopIfTrue="1" operator="between">
      <formula>"NOGO NG"</formula>
      <formula>"GO NG"</formula>
    </cfRule>
    <cfRule type="cellIs" dxfId="104" priority="107" stopIfTrue="1" operator="equal">
      <formula>"OK"</formula>
    </cfRule>
  </conditionalFormatting>
  <conditionalFormatting sqref="C68">
    <cfRule type="cellIs" dxfId="103" priority="108" stopIfTrue="1" operator="equal">
      <formula>"N"</formula>
    </cfRule>
  </conditionalFormatting>
  <conditionalFormatting sqref="C66">
    <cfRule type="cellIs" dxfId="102" priority="103" stopIfTrue="1" operator="equal">
      <formula>"N"</formula>
    </cfRule>
  </conditionalFormatting>
  <conditionalFormatting sqref="C66 C68">
    <cfRule type="cellIs" dxfId="101" priority="101" stopIfTrue="1" operator="equal">
      <formula>"C"</formula>
    </cfRule>
    <cfRule type="cellIs" dxfId="100" priority="102" stopIfTrue="1" operator="equal">
      <formula>"N"</formula>
    </cfRule>
  </conditionalFormatting>
  <conditionalFormatting sqref="C68 C64">
    <cfRule type="cellIs" dxfId="99" priority="99" stopIfTrue="1" operator="equal">
      <formula>"OK"</formula>
    </cfRule>
    <cfRule type="cellIs" dxfId="98" priority="100" stopIfTrue="1" operator="equal">
      <formula>"NG"</formula>
    </cfRule>
  </conditionalFormatting>
  <conditionalFormatting sqref="C66 C68">
    <cfRule type="cellIs" dxfId="97" priority="98" stopIfTrue="1" operator="equal">
      <formula>"N"</formula>
    </cfRule>
  </conditionalFormatting>
  <conditionalFormatting sqref="C65">
    <cfRule type="cellIs" dxfId="96" priority="97" stopIfTrue="1" operator="equal">
      <formula>"N"</formula>
    </cfRule>
  </conditionalFormatting>
  <conditionalFormatting sqref="C65">
    <cfRule type="cellIs" dxfId="95" priority="95" stopIfTrue="1" operator="equal">
      <formula>"C"</formula>
    </cfRule>
    <cfRule type="cellIs" dxfId="94" priority="96" stopIfTrue="1" operator="equal">
      <formula>"N"</formula>
    </cfRule>
  </conditionalFormatting>
  <conditionalFormatting sqref="C65">
    <cfRule type="cellIs" dxfId="93" priority="93" stopIfTrue="1" operator="equal">
      <formula>"OK"</formula>
    </cfRule>
    <cfRule type="cellIs" dxfId="92" priority="94" stopIfTrue="1" operator="equal">
      <formula>"NG"</formula>
    </cfRule>
  </conditionalFormatting>
  <conditionalFormatting sqref="C65">
    <cfRule type="cellIs" dxfId="91" priority="92" stopIfTrue="1" operator="equal">
      <formula>"N"</formula>
    </cfRule>
  </conditionalFormatting>
  <conditionalFormatting sqref="C64">
    <cfRule type="cellIs" dxfId="90" priority="90" stopIfTrue="1" operator="equal">
      <formula>"OK"</formula>
    </cfRule>
    <cfRule type="cellIs" dxfId="89" priority="91" stopIfTrue="1" operator="equal">
      <formula>"NG"</formula>
    </cfRule>
  </conditionalFormatting>
  <conditionalFormatting sqref="C65">
    <cfRule type="cellIs" dxfId="88" priority="88" stopIfTrue="1" operator="equal">
      <formula>"OK"</formula>
    </cfRule>
    <cfRule type="cellIs" dxfId="87" priority="89" stopIfTrue="1" operator="equal">
      <formula>"NG"</formula>
    </cfRule>
  </conditionalFormatting>
  <conditionalFormatting sqref="C66">
    <cfRule type="cellIs" dxfId="86" priority="87" stopIfTrue="1" operator="equal">
      <formula>"N"</formula>
    </cfRule>
  </conditionalFormatting>
  <conditionalFormatting sqref="C66">
    <cfRule type="cellIs" dxfId="85" priority="85" stopIfTrue="1" operator="equal">
      <formula>"C"</formula>
    </cfRule>
    <cfRule type="cellIs" dxfId="84" priority="86" stopIfTrue="1" operator="equal">
      <formula>"N"</formula>
    </cfRule>
  </conditionalFormatting>
  <conditionalFormatting sqref="C66">
    <cfRule type="cellIs" dxfId="83" priority="84" stopIfTrue="1" operator="equal">
      <formula>"N"</formula>
    </cfRule>
  </conditionalFormatting>
  <conditionalFormatting sqref="C65">
    <cfRule type="cellIs" dxfId="82" priority="83" stopIfTrue="1" operator="equal">
      <formula>"N"</formula>
    </cfRule>
  </conditionalFormatting>
  <conditionalFormatting sqref="C65">
    <cfRule type="cellIs" dxfId="81" priority="81" stopIfTrue="1" operator="equal">
      <formula>"C"</formula>
    </cfRule>
    <cfRule type="cellIs" dxfId="80" priority="82" stopIfTrue="1" operator="equal">
      <formula>"N"</formula>
    </cfRule>
  </conditionalFormatting>
  <conditionalFormatting sqref="C65">
    <cfRule type="cellIs" dxfId="79" priority="79" stopIfTrue="1" operator="equal">
      <formula>"OK"</formula>
    </cfRule>
    <cfRule type="cellIs" dxfId="78" priority="80" stopIfTrue="1" operator="equal">
      <formula>"NG"</formula>
    </cfRule>
  </conditionalFormatting>
  <conditionalFormatting sqref="C65">
    <cfRule type="cellIs" dxfId="77" priority="78" stopIfTrue="1" operator="equal">
      <formula>"N"</formula>
    </cfRule>
  </conditionalFormatting>
  <conditionalFormatting sqref="C68">
    <cfRule type="cellIs" dxfId="76" priority="77" stopIfTrue="1" operator="equal">
      <formula>"N"</formula>
    </cfRule>
  </conditionalFormatting>
  <conditionalFormatting sqref="C68">
    <cfRule type="cellIs" dxfId="75" priority="75" stopIfTrue="1" operator="equal">
      <formula>"C"</formula>
    </cfRule>
    <cfRule type="cellIs" dxfId="74" priority="76" stopIfTrue="1" operator="equal">
      <formula>"N"</formula>
    </cfRule>
  </conditionalFormatting>
  <conditionalFormatting sqref="C68">
    <cfRule type="cellIs" dxfId="73" priority="73" stopIfTrue="1" operator="equal">
      <formula>"OK"</formula>
    </cfRule>
    <cfRule type="cellIs" dxfId="72" priority="74" stopIfTrue="1" operator="equal">
      <formula>"NG"</formula>
    </cfRule>
  </conditionalFormatting>
  <conditionalFormatting sqref="C68">
    <cfRule type="cellIs" dxfId="71" priority="72" stopIfTrue="1" operator="equal">
      <formula>"N"</formula>
    </cfRule>
  </conditionalFormatting>
  <conditionalFormatting sqref="D65:N65">
    <cfRule type="cellIs" dxfId="70" priority="67" stopIfTrue="1" operator="equal">
      <formula>"OK"</formula>
    </cfRule>
    <cfRule type="cellIs" dxfId="69" priority="68" stopIfTrue="1" operator="equal">
      <formula>"NG"</formula>
    </cfRule>
  </conditionalFormatting>
  <conditionalFormatting sqref="D64:N64">
    <cfRule type="cellIs" dxfId="68" priority="69" stopIfTrue="1" operator="between">
      <formula>"NOGO NG"</formula>
      <formula>"GO NG"</formula>
    </cfRule>
    <cfRule type="cellIs" dxfId="67" priority="70" stopIfTrue="1" operator="equal">
      <formula>"OK"</formula>
    </cfRule>
  </conditionalFormatting>
  <conditionalFormatting sqref="D68:N68">
    <cfRule type="cellIs" dxfId="66" priority="71" stopIfTrue="1" operator="equal">
      <formula>"N"</formula>
    </cfRule>
  </conditionalFormatting>
  <conditionalFormatting sqref="D66:N66">
    <cfRule type="cellIs" dxfId="65" priority="66" stopIfTrue="1" operator="equal">
      <formula>"N"</formula>
    </cfRule>
  </conditionalFormatting>
  <conditionalFormatting sqref="D66:N66 D68:N68">
    <cfRule type="cellIs" dxfId="64" priority="64" stopIfTrue="1" operator="equal">
      <formula>"C"</formula>
    </cfRule>
    <cfRule type="cellIs" dxfId="63" priority="65" stopIfTrue="1" operator="equal">
      <formula>"N"</formula>
    </cfRule>
  </conditionalFormatting>
  <conditionalFormatting sqref="D68:N68 D64:N64">
    <cfRule type="cellIs" dxfId="62" priority="62" stopIfTrue="1" operator="equal">
      <formula>"OK"</formula>
    </cfRule>
    <cfRule type="cellIs" dxfId="61" priority="63" stopIfTrue="1" operator="equal">
      <formula>"NG"</formula>
    </cfRule>
  </conditionalFormatting>
  <conditionalFormatting sqref="D66:N66 D68:N68">
    <cfRule type="cellIs" dxfId="60" priority="61" stopIfTrue="1" operator="equal">
      <formula>"N"</formula>
    </cfRule>
  </conditionalFormatting>
  <conditionalFormatting sqref="D65:N65">
    <cfRule type="cellIs" dxfId="59" priority="60" stopIfTrue="1" operator="equal">
      <formula>"N"</formula>
    </cfRule>
  </conditionalFormatting>
  <conditionalFormatting sqref="D65:N65">
    <cfRule type="cellIs" dxfId="58" priority="58" stopIfTrue="1" operator="equal">
      <formula>"C"</formula>
    </cfRule>
    <cfRule type="cellIs" dxfId="57" priority="59" stopIfTrue="1" operator="equal">
      <formula>"N"</formula>
    </cfRule>
  </conditionalFormatting>
  <conditionalFormatting sqref="D65:N65">
    <cfRule type="cellIs" dxfId="56" priority="56" stopIfTrue="1" operator="equal">
      <formula>"OK"</formula>
    </cfRule>
    <cfRule type="cellIs" dxfId="55" priority="57" stopIfTrue="1" operator="equal">
      <formula>"NG"</formula>
    </cfRule>
  </conditionalFormatting>
  <conditionalFormatting sqref="D65:N65">
    <cfRule type="cellIs" dxfId="54" priority="55" stopIfTrue="1" operator="equal">
      <formula>"N"</formula>
    </cfRule>
  </conditionalFormatting>
  <conditionalFormatting sqref="D64:N64">
    <cfRule type="cellIs" dxfId="53" priority="53" stopIfTrue="1" operator="equal">
      <formula>"OK"</formula>
    </cfRule>
    <cfRule type="cellIs" dxfId="52" priority="54" stopIfTrue="1" operator="equal">
      <formula>"NG"</formula>
    </cfRule>
  </conditionalFormatting>
  <conditionalFormatting sqref="D65:N65">
    <cfRule type="cellIs" dxfId="51" priority="51" stopIfTrue="1" operator="equal">
      <formula>"OK"</formula>
    </cfRule>
    <cfRule type="cellIs" dxfId="50" priority="52" stopIfTrue="1" operator="equal">
      <formula>"NG"</formula>
    </cfRule>
  </conditionalFormatting>
  <conditionalFormatting sqref="D66:N66">
    <cfRule type="cellIs" dxfId="49" priority="50" stopIfTrue="1" operator="equal">
      <formula>"N"</formula>
    </cfRule>
  </conditionalFormatting>
  <conditionalFormatting sqref="D66:N66">
    <cfRule type="cellIs" dxfId="48" priority="48" stopIfTrue="1" operator="equal">
      <formula>"C"</formula>
    </cfRule>
    <cfRule type="cellIs" dxfId="47" priority="49" stopIfTrue="1" operator="equal">
      <formula>"N"</formula>
    </cfRule>
  </conditionalFormatting>
  <conditionalFormatting sqref="D66:N66">
    <cfRule type="cellIs" dxfId="46" priority="47" stopIfTrue="1" operator="equal">
      <formula>"N"</formula>
    </cfRule>
  </conditionalFormatting>
  <conditionalFormatting sqref="D65:N65">
    <cfRule type="cellIs" dxfId="45" priority="46" stopIfTrue="1" operator="equal">
      <formula>"N"</formula>
    </cfRule>
  </conditionalFormatting>
  <conditionalFormatting sqref="D65:N65">
    <cfRule type="cellIs" dxfId="44" priority="44" stopIfTrue="1" operator="equal">
      <formula>"C"</formula>
    </cfRule>
    <cfRule type="cellIs" dxfId="43" priority="45" stopIfTrue="1" operator="equal">
      <formula>"N"</formula>
    </cfRule>
  </conditionalFormatting>
  <conditionalFormatting sqref="D65:N65">
    <cfRule type="cellIs" dxfId="42" priority="42" stopIfTrue="1" operator="equal">
      <formula>"OK"</formula>
    </cfRule>
    <cfRule type="cellIs" dxfId="41" priority="43" stopIfTrue="1" operator="equal">
      <formula>"NG"</formula>
    </cfRule>
  </conditionalFormatting>
  <conditionalFormatting sqref="D65:N65">
    <cfRule type="cellIs" dxfId="40" priority="41" stopIfTrue="1" operator="equal">
      <formula>"N"</formula>
    </cfRule>
  </conditionalFormatting>
  <conditionalFormatting sqref="D68:N68">
    <cfRule type="cellIs" dxfId="39" priority="40" stopIfTrue="1" operator="equal">
      <formula>"N"</formula>
    </cfRule>
  </conditionalFormatting>
  <conditionalFormatting sqref="D68:N68">
    <cfRule type="cellIs" dxfId="38" priority="38" stopIfTrue="1" operator="equal">
      <formula>"C"</formula>
    </cfRule>
    <cfRule type="cellIs" dxfId="37" priority="39" stopIfTrue="1" operator="equal">
      <formula>"N"</formula>
    </cfRule>
  </conditionalFormatting>
  <conditionalFormatting sqref="D68:N68">
    <cfRule type="cellIs" dxfId="36" priority="36" stopIfTrue="1" operator="equal">
      <formula>"OK"</formula>
    </cfRule>
    <cfRule type="cellIs" dxfId="35" priority="37" stopIfTrue="1" operator="equal">
      <formula>"NG"</formula>
    </cfRule>
  </conditionalFormatting>
  <conditionalFormatting sqref="D68:N68">
    <cfRule type="cellIs" dxfId="34" priority="35" stopIfTrue="1" operator="equal">
      <formula>"N"</formula>
    </cfRule>
  </conditionalFormatting>
  <conditionalFormatting sqref="N67">
    <cfRule type="cellIs" dxfId="33" priority="34" stopIfTrue="1" operator="equal">
      <formula>"N"</formula>
    </cfRule>
  </conditionalFormatting>
  <conditionalFormatting sqref="N67">
    <cfRule type="cellIs" dxfId="32" priority="32" stopIfTrue="1" operator="equal">
      <formula>"C"</formula>
    </cfRule>
    <cfRule type="cellIs" dxfId="31" priority="33" stopIfTrue="1" operator="equal">
      <formula>"N"</formula>
    </cfRule>
  </conditionalFormatting>
  <conditionalFormatting sqref="N67">
    <cfRule type="cellIs" dxfId="30" priority="30" stopIfTrue="1" operator="equal">
      <formula>"OK"</formula>
    </cfRule>
    <cfRule type="cellIs" dxfId="29" priority="31" stopIfTrue="1" operator="equal">
      <formula>"NG"</formula>
    </cfRule>
  </conditionalFormatting>
  <conditionalFormatting sqref="N67">
    <cfRule type="cellIs" dxfId="28" priority="29" stopIfTrue="1" operator="equal">
      <formula>"N"</formula>
    </cfRule>
  </conditionalFormatting>
  <conditionalFormatting sqref="N67">
    <cfRule type="cellIs" dxfId="27" priority="28" stopIfTrue="1" operator="equal">
      <formula>"N"</formula>
    </cfRule>
  </conditionalFormatting>
  <conditionalFormatting sqref="N67">
    <cfRule type="cellIs" dxfId="26" priority="26" stopIfTrue="1" operator="equal">
      <formula>"C"</formula>
    </cfRule>
    <cfRule type="cellIs" dxfId="25" priority="27" stopIfTrue="1" operator="equal">
      <formula>"N"</formula>
    </cfRule>
  </conditionalFormatting>
  <conditionalFormatting sqref="N67">
    <cfRule type="cellIs" dxfId="24" priority="24" stopIfTrue="1" operator="equal">
      <formula>"OK"</formula>
    </cfRule>
    <cfRule type="cellIs" dxfId="23" priority="25" stopIfTrue="1" operator="equal">
      <formula>"NG"</formula>
    </cfRule>
  </conditionalFormatting>
  <conditionalFormatting sqref="N67">
    <cfRule type="cellIs" dxfId="22" priority="23" stopIfTrue="1" operator="equal">
      <formula>"N"</formula>
    </cfRule>
  </conditionalFormatting>
  <conditionalFormatting sqref="S45">
    <cfRule type="cellIs" dxfId="21" priority="21" stopIfTrue="1" operator="equal">
      <formula>"OK"</formula>
    </cfRule>
    <cfRule type="cellIs" dxfId="20" priority="22" stopIfTrue="1" operator="equal">
      <formula>"NG"</formula>
    </cfRule>
  </conditionalFormatting>
  <conditionalFormatting sqref="J52">
    <cfRule type="cellIs" dxfId="19" priority="20" stopIfTrue="1" operator="greaterThan">
      <formula>F52+G52</formula>
    </cfRule>
  </conditionalFormatting>
  <conditionalFormatting sqref="J52">
    <cfRule type="cellIs" dxfId="18" priority="19" stopIfTrue="1" operator="lessThan">
      <formula>F52+H52</formula>
    </cfRule>
  </conditionalFormatting>
  <conditionalFormatting sqref="K52">
    <cfRule type="cellIs" dxfId="17" priority="18" stopIfTrue="1" operator="greaterThan">
      <formula>F52+G52</formula>
    </cfRule>
  </conditionalFormatting>
  <conditionalFormatting sqref="K52">
    <cfRule type="cellIs" dxfId="16" priority="17" stopIfTrue="1" operator="lessThan">
      <formula>F52+H52</formula>
    </cfRule>
  </conditionalFormatting>
  <conditionalFormatting sqref="L52">
    <cfRule type="cellIs" dxfId="15" priority="16" stopIfTrue="1" operator="greaterThan">
      <formula>F52+G52</formula>
    </cfRule>
  </conditionalFormatting>
  <conditionalFormatting sqref="L52">
    <cfRule type="cellIs" dxfId="14" priority="15" stopIfTrue="1" operator="lessThan">
      <formula>F52+H52</formula>
    </cfRule>
  </conditionalFormatting>
  <conditionalFormatting sqref="M52">
    <cfRule type="cellIs" dxfId="13" priority="14" stopIfTrue="1" operator="greaterThan">
      <formula>F52+G52</formula>
    </cfRule>
  </conditionalFormatting>
  <conditionalFormatting sqref="M52">
    <cfRule type="cellIs" dxfId="12" priority="13" stopIfTrue="1" operator="lessThan">
      <formula>F52+H52</formula>
    </cfRule>
  </conditionalFormatting>
  <conditionalFormatting sqref="N52">
    <cfRule type="cellIs" dxfId="11" priority="12" stopIfTrue="1" operator="greaterThan">
      <formula>F52+G52</formula>
    </cfRule>
  </conditionalFormatting>
  <conditionalFormatting sqref="N52">
    <cfRule type="cellIs" dxfId="10" priority="11" stopIfTrue="1" operator="lessThan">
      <formula>F52+H52</formula>
    </cfRule>
  </conditionalFormatting>
  <conditionalFormatting sqref="O52">
    <cfRule type="cellIs" dxfId="9" priority="10" stopIfTrue="1" operator="greaterThan">
      <formula>F52+G52</formula>
    </cfRule>
  </conditionalFormatting>
  <conditionalFormatting sqref="O52">
    <cfRule type="cellIs" dxfId="8" priority="9" stopIfTrue="1" operator="lessThan">
      <formula>F52+H52</formula>
    </cfRule>
  </conditionalFormatting>
  <conditionalFormatting sqref="P52">
    <cfRule type="cellIs" dxfId="7" priority="8" stopIfTrue="1" operator="greaterThan">
      <formula>F52+G52</formula>
    </cfRule>
  </conditionalFormatting>
  <conditionalFormatting sqref="P52">
    <cfRule type="cellIs" dxfId="6" priority="7" stopIfTrue="1" operator="lessThan">
      <formula>F52+H52</formula>
    </cfRule>
  </conditionalFormatting>
  <conditionalFormatting sqref="Q52">
    <cfRule type="cellIs" dxfId="5" priority="6" stopIfTrue="1" operator="greaterThan">
      <formula>F52+G52</formula>
    </cfRule>
  </conditionalFormatting>
  <conditionalFormatting sqref="Q52">
    <cfRule type="cellIs" dxfId="4" priority="5" stopIfTrue="1" operator="lessThan">
      <formula>F52+H52</formula>
    </cfRule>
  </conditionalFormatting>
  <conditionalFormatting sqref="R52">
    <cfRule type="cellIs" dxfId="3" priority="4" stopIfTrue="1" operator="greaterThan">
      <formula>F52+G52</formula>
    </cfRule>
  </conditionalFormatting>
  <conditionalFormatting sqref="R52">
    <cfRule type="cellIs" dxfId="2" priority="3" stopIfTrue="1" operator="lessThan">
      <formula>F52+H52</formula>
    </cfRule>
  </conditionalFormatting>
  <conditionalFormatting sqref="S52">
    <cfRule type="cellIs" dxfId="1" priority="2" stopIfTrue="1" operator="greaterThan">
      <formula>F52+G52</formula>
    </cfRule>
  </conditionalFormatting>
  <conditionalFormatting sqref="S52">
    <cfRule type="cellIs" dxfId="0" priority="1" stopIfTrue="1" operator="lessThan">
      <formula>F52+H52</formula>
    </cfRule>
  </conditionalFormatting>
  <dataValidations count="7">
    <dataValidation type="list" allowBlank="1" showInputMessage="1" showErrorMessage="1" sqref="G47" xr:uid="{00000000-0002-0000-0100-000000000000}">
      <formula1>"NGHIA,HOA,NA,HAI,WEI,Water,WC,Vanson_lin,Chien,洪美珠,阮文團"</formula1>
    </dataValidation>
    <dataValidation type="list" allowBlank="1" showInputMessage="1" showErrorMessage="1" sqref="G40" xr:uid="{00000000-0002-0000-0100-000001000000}">
      <formula1>"OK,GO NG,NO GO NG"</formula1>
    </dataValidation>
    <dataValidation type="list" allowBlank="1" showInputMessage="1" showErrorMessage="1" sqref="G43 A64:N64 S45" xr:uid="{00000000-0002-0000-0100-000002000000}">
      <formula1>"OK,NG"</formula1>
    </dataValidation>
    <dataValidation type="list" allowBlank="1" showInputMessage="1" showErrorMessage="1" sqref="A67:N67" xr:uid="{00000000-0002-0000-0100-000003000000}">
      <formula1>"C,N"</formula1>
    </dataValidation>
    <dataValidation type="list" allowBlank="1" showInputMessage="1" showErrorMessage="1" sqref="C54:P54" xr:uid="{00000000-0002-0000-0100-000004000000}">
      <formula1>"OK,GO NG,NOGO NG"</formula1>
    </dataValidation>
    <dataValidation type="list" allowBlank="1" showInputMessage="1" showErrorMessage="1" sqref="A65" xr:uid="{00000000-0002-0000-0100-000005000000}">
      <formula1>"洪美珠,Vanson_lin,Chien,NA,HAI,陳冠宇,Linh,洪惠琇,張凱順,Ann,sherlani,mary"</formula1>
    </dataValidation>
    <dataValidation type="list" allowBlank="1" showInputMessage="1" showErrorMessage="1" sqref="A68" xr:uid="{00000000-0002-0000-0100-000006000000}">
      <formula1>"洪美珠,WEI,Water,QUANG,Vanson_lin,Chien,Doan,WC,彭仁傑"</formula1>
    </dataValidation>
  </dataValidations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1</vt:i4>
      </vt:variant>
    </vt:vector>
  </HeadingPairs>
  <TitlesOfParts>
    <vt:vector size="3" baseType="lpstr">
      <vt:lpstr>OGQC</vt:lpstr>
      <vt:lpstr>選項</vt:lpstr>
      <vt:lpstr>OGQC!Print_Titles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2026-06-21T14:58:09Z</dcterms:modified>
</cp:coreProperties>
</file>